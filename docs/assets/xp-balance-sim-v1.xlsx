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1c78e2bed29fd87/Desktop/claudeproject/nexus/"/>
    </mc:Choice>
  </mc:AlternateContent>
  <xr:revisionPtr revIDLastSave="0" documentId="11_EABD71B4CDDB9609EF338D469EBD02CA5FF222C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판정요약" sheetId="1" r:id="rId1"/>
    <sheet name="Params" sheetId="2" r:id="rId2"/>
    <sheet name="P1_안움직임" sheetId="3" r:id="rId3"/>
    <sheet name="P2_주3걷기" sheetId="4" r:id="rId4"/>
    <sheet name="P3_주5러너" sheetId="5" r:id="rId5"/>
    <sheet name="P4_헬스만" sheetId="6" r:id="rId6"/>
    <sheet name="P5_들쑥날쑥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7" l="1"/>
  <c r="H44" i="7"/>
  <c r="E44" i="7"/>
  <c r="K44" i="7" s="1"/>
  <c r="L43" i="7"/>
  <c r="K43" i="7"/>
  <c r="H43" i="7"/>
  <c r="E43" i="7"/>
  <c r="L42" i="7"/>
  <c r="H42" i="7"/>
  <c r="E42" i="7"/>
  <c r="L41" i="7"/>
  <c r="H41" i="7"/>
  <c r="E41" i="7"/>
  <c r="K41" i="7" s="1"/>
  <c r="L40" i="7"/>
  <c r="H40" i="7"/>
  <c r="E40" i="7"/>
  <c r="K40" i="7" s="1"/>
  <c r="L39" i="7"/>
  <c r="H39" i="7"/>
  <c r="E39" i="7"/>
  <c r="L38" i="7"/>
  <c r="K38" i="7"/>
  <c r="H38" i="7"/>
  <c r="E38" i="7"/>
  <c r="L37" i="7"/>
  <c r="H37" i="7"/>
  <c r="E37" i="7"/>
  <c r="K37" i="7" s="1"/>
  <c r="L36" i="7"/>
  <c r="H36" i="7"/>
  <c r="E36" i="7"/>
  <c r="L35" i="7"/>
  <c r="K35" i="7"/>
  <c r="H35" i="7"/>
  <c r="E35" i="7"/>
  <c r="L34" i="7"/>
  <c r="H34" i="7"/>
  <c r="E34" i="7"/>
  <c r="K34" i="7" s="1"/>
  <c r="L33" i="7"/>
  <c r="H33" i="7"/>
  <c r="E33" i="7"/>
  <c r="L32" i="7"/>
  <c r="H32" i="7"/>
  <c r="E32" i="7"/>
  <c r="K32" i="7" s="1"/>
  <c r="L31" i="7"/>
  <c r="H31" i="7"/>
  <c r="E31" i="7"/>
  <c r="K31" i="7" s="1"/>
  <c r="L30" i="7"/>
  <c r="H30" i="7"/>
  <c r="E30" i="7"/>
  <c r="L29" i="7"/>
  <c r="H29" i="7"/>
  <c r="E29" i="7"/>
  <c r="K29" i="7" s="1"/>
  <c r="L28" i="7"/>
  <c r="H28" i="7"/>
  <c r="E28" i="7"/>
  <c r="K28" i="7" s="1"/>
  <c r="L27" i="7"/>
  <c r="H27" i="7"/>
  <c r="E27" i="7"/>
  <c r="L26" i="7"/>
  <c r="H26" i="7"/>
  <c r="E26" i="7"/>
  <c r="K26" i="7" s="1"/>
  <c r="L25" i="7"/>
  <c r="K25" i="7"/>
  <c r="H25" i="7"/>
  <c r="E25" i="7"/>
  <c r="L24" i="7"/>
  <c r="H24" i="7"/>
  <c r="E24" i="7"/>
  <c r="L23" i="7"/>
  <c r="K23" i="7"/>
  <c r="H23" i="7"/>
  <c r="E23" i="7"/>
  <c r="L22" i="7"/>
  <c r="K22" i="7"/>
  <c r="H22" i="7"/>
  <c r="E22" i="7"/>
  <c r="L21" i="7"/>
  <c r="H21" i="7"/>
  <c r="E21" i="7"/>
  <c r="L20" i="7"/>
  <c r="K20" i="7"/>
  <c r="H20" i="7"/>
  <c r="E20" i="7"/>
  <c r="L19" i="7"/>
  <c r="H19" i="7"/>
  <c r="E19" i="7"/>
  <c r="K19" i="7" s="1"/>
  <c r="L18" i="7"/>
  <c r="H18" i="7"/>
  <c r="E18" i="7"/>
  <c r="L17" i="7"/>
  <c r="H17" i="7"/>
  <c r="F17" i="7"/>
  <c r="E17" i="7"/>
  <c r="F18" i="7" s="1"/>
  <c r="L44" i="6"/>
  <c r="K44" i="6"/>
  <c r="H44" i="6"/>
  <c r="E44" i="6"/>
  <c r="L43" i="6"/>
  <c r="K43" i="6"/>
  <c r="H43" i="6"/>
  <c r="E43" i="6"/>
  <c r="L42" i="6"/>
  <c r="H42" i="6"/>
  <c r="E42" i="6"/>
  <c r="L41" i="6"/>
  <c r="H41" i="6"/>
  <c r="E41" i="6"/>
  <c r="K41" i="6" s="1"/>
  <c r="L40" i="6"/>
  <c r="H40" i="6"/>
  <c r="E40" i="6"/>
  <c r="K40" i="6" s="1"/>
  <c r="L39" i="6"/>
  <c r="H39" i="6"/>
  <c r="E39" i="6"/>
  <c r="L38" i="6"/>
  <c r="H38" i="6"/>
  <c r="E38" i="6"/>
  <c r="K38" i="6" s="1"/>
  <c r="L37" i="6"/>
  <c r="H37" i="6"/>
  <c r="E37" i="6"/>
  <c r="K37" i="6" s="1"/>
  <c r="L36" i="6"/>
  <c r="H36" i="6"/>
  <c r="E36" i="6"/>
  <c r="L35" i="6"/>
  <c r="H35" i="6"/>
  <c r="E35" i="6"/>
  <c r="K35" i="6" s="1"/>
  <c r="L34" i="6"/>
  <c r="K34" i="6"/>
  <c r="H34" i="6"/>
  <c r="E34" i="6"/>
  <c r="L33" i="6"/>
  <c r="H33" i="6"/>
  <c r="E33" i="6"/>
  <c r="L32" i="6"/>
  <c r="K32" i="6"/>
  <c r="H32" i="6"/>
  <c r="E32" i="6"/>
  <c r="L31" i="6"/>
  <c r="K31" i="6"/>
  <c r="H31" i="6"/>
  <c r="E31" i="6"/>
  <c r="L30" i="6"/>
  <c r="H30" i="6"/>
  <c r="E30" i="6"/>
  <c r="L29" i="6"/>
  <c r="K29" i="6"/>
  <c r="H29" i="6"/>
  <c r="E29" i="6"/>
  <c r="L28" i="6"/>
  <c r="H28" i="6"/>
  <c r="E28" i="6"/>
  <c r="K28" i="6" s="1"/>
  <c r="L27" i="6"/>
  <c r="H27" i="6"/>
  <c r="E27" i="6"/>
  <c r="L26" i="6"/>
  <c r="H26" i="6"/>
  <c r="E26" i="6"/>
  <c r="K26" i="6" s="1"/>
  <c r="L25" i="6"/>
  <c r="H25" i="6"/>
  <c r="E25" i="6"/>
  <c r="K25" i="6" s="1"/>
  <c r="L24" i="6"/>
  <c r="H24" i="6"/>
  <c r="E24" i="6"/>
  <c r="L23" i="6"/>
  <c r="H23" i="6"/>
  <c r="E23" i="6"/>
  <c r="K23" i="6" s="1"/>
  <c r="L22" i="6"/>
  <c r="H22" i="6"/>
  <c r="E22" i="6"/>
  <c r="K22" i="6" s="1"/>
  <c r="L21" i="6"/>
  <c r="H21" i="6"/>
  <c r="E21" i="6"/>
  <c r="L20" i="6"/>
  <c r="K20" i="6"/>
  <c r="H20" i="6"/>
  <c r="E20" i="6"/>
  <c r="L19" i="6"/>
  <c r="H19" i="6"/>
  <c r="F19" i="6"/>
  <c r="E19" i="6"/>
  <c r="K19" i="6" s="1"/>
  <c r="L18" i="6"/>
  <c r="H18" i="6"/>
  <c r="E18" i="6"/>
  <c r="L17" i="6"/>
  <c r="H17" i="6"/>
  <c r="F17" i="6"/>
  <c r="G17" i="6" s="1"/>
  <c r="I17" i="6" s="1"/>
  <c r="J17" i="6" s="1"/>
  <c r="E17" i="6"/>
  <c r="F18" i="6" s="1"/>
  <c r="G18" i="6" s="1"/>
  <c r="L44" i="5"/>
  <c r="K44" i="5"/>
  <c r="H44" i="5"/>
  <c r="E44" i="5"/>
  <c r="L43" i="5"/>
  <c r="K43" i="5"/>
  <c r="H43" i="5"/>
  <c r="E43" i="5"/>
  <c r="L42" i="5"/>
  <c r="H42" i="5"/>
  <c r="E42" i="5"/>
  <c r="L41" i="5"/>
  <c r="H41" i="5"/>
  <c r="E41" i="5"/>
  <c r="K41" i="5" s="1"/>
  <c r="L40" i="5"/>
  <c r="K40" i="5"/>
  <c r="H40" i="5"/>
  <c r="E40" i="5"/>
  <c r="L39" i="5"/>
  <c r="H39" i="5"/>
  <c r="E39" i="5"/>
  <c r="L38" i="5"/>
  <c r="H38" i="5"/>
  <c r="E38" i="5"/>
  <c r="F44" i="5" s="1"/>
  <c r="G44" i="5" s="1"/>
  <c r="I44" i="5" s="1"/>
  <c r="J44" i="5" s="1"/>
  <c r="L37" i="5"/>
  <c r="K37" i="5"/>
  <c r="H37" i="5"/>
  <c r="E37" i="5"/>
  <c r="L36" i="5"/>
  <c r="H36" i="5"/>
  <c r="E36" i="5"/>
  <c r="L35" i="5"/>
  <c r="H35" i="5"/>
  <c r="E35" i="5"/>
  <c r="K35" i="5" s="1"/>
  <c r="L34" i="5"/>
  <c r="H34" i="5"/>
  <c r="E34" i="5"/>
  <c r="K34" i="5" s="1"/>
  <c r="L33" i="5"/>
  <c r="H33" i="5"/>
  <c r="E33" i="5"/>
  <c r="L32" i="5"/>
  <c r="H32" i="5"/>
  <c r="E32" i="5"/>
  <c r="F38" i="5" s="1"/>
  <c r="G38" i="5" s="1"/>
  <c r="I38" i="5" s="1"/>
  <c r="J38" i="5" s="1"/>
  <c r="L31" i="5"/>
  <c r="H31" i="5"/>
  <c r="E31" i="5"/>
  <c r="K31" i="5" s="1"/>
  <c r="L30" i="5"/>
  <c r="H30" i="5"/>
  <c r="E30" i="5"/>
  <c r="L29" i="5"/>
  <c r="H29" i="5"/>
  <c r="E29" i="5"/>
  <c r="K29" i="5" s="1"/>
  <c r="L28" i="5"/>
  <c r="K28" i="5"/>
  <c r="H28" i="5"/>
  <c r="E28" i="5"/>
  <c r="L27" i="5"/>
  <c r="H27" i="5"/>
  <c r="E27" i="5"/>
  <c r="L26" i="5"/>
  <c r="H26" i="5"/>
  <c r="E26" i="5"/>
  <c r="K26" i="5" s="1"/>
  <c r="L25" i="5"/>
  <c r="K25" i="5"/>
  <c r="H25" i="5"/>
  <c r="E25" i="5"/>
  <c r="L24" i="5"/>
  <c r="H24" i="5"/>
  <c r="E24" i="5"/>
  <c r="L23" i="5"/>
  <c r="H23" i="5"/>
  <c r="E23" i="5"/>
  <c r="K23" i="5" s="1"/>
  <c r="L22" i="5"/>
  <c r="K22" i="5"/>
  <c r="H22" i="5"/>
  <c r="E22" i="5"/>
  <c r="L21" i="5"/>
  <c r="H21" i="5"/>
  <c r="E21" i="5"/>
  <c r="L20" i="5"/>
  <c r="H20" i="5"/>
  <c r="F20" i="5"/>
  <c r="E20" i="5"/>
  <c r="K20" i="5" s="1"/>
  <c r="L19" i="5"/>
  <c r="K19" i="5"/>
  <c r="H19" i="5"/>
  <c r="E19" i="5"/>
  <c r="L18" i="5"/>
  <c r="H18" i="5"/>
  <c r="F18" i="5"/>
  <c r="G18" i="5" s="1"/>
  <c r="E18" i="5"/>
  <c r="F25" i="5" s="1"/>
  <c r="G25" i="5" s="1"/>
  <c r="I25" i="5" s="1"/>
  <c r="J25" i="5" s="1"/>
  <c r="L17" i="5"/>
  <c r="K17" i="5"/>
  <c r="H17" i="5"/>
  <c r="F17" i="5"/>
  <c r="G17" i="5" s="1"/>
  <c r="I17" i="5" s="1"/>
  <c r="J17" i="5" s="1"/>
  <c r="E17" i="5"/>
  <c r="L44" i="4"/>
  <c r="H44" i="4"/>
  <c r="E44" i="4"/>
  <c r="K44" i="4" s="1"/>
  <c r="L43" i="4"/>
  <c r="H43" i="4"/>
  <c r="E43" i="4"/>
  <c r="K43" i="4" s="1"/>
  <c r="L42" i="4"/>
  <c r="H42" i="4"/>
  <c r="E42" i="4"/>
  <c r="L41" i="4"/>
  <c r="H41" i="4"/>
  <c r="E41" i="4"/>
  <c r="K41" i="4" s="1"/>
  <c r="L40" i="4"/>
  <c r="K40" i="4"/>
  <c r="H40" i="4"/>
  <c r="E40" i="4"/>
  <c r="L39" i="4"/>
  <c r="H39" i="4"/>
  <c r="E39" i="4"/>
  <c r="L38" i="4"/>
  <c r="H38" i="4"/>
  <c r="E38" i="4"/>
  <c r="K38" i="4" s="1"/>
  <c r="L37" i="4"/>
  <c r="K37" i="4"/>
  <c r="H37" i="4"/>
  <c r="E37" i="4"/>
  <c r="L36" i="4"/>
  <c r="H36" i="4"/>
  <c r="E36" i="4"/>
  <c r="L35" i="4"/>
  <c r="K35" i="4"/>
  <c r="H35" i="4"/>
  <c r="E35" i="4"/>
  <c r="L34" i="4"/>
  <c r="K34" i="4"/>
  <c r="H34" i="4"/>
  <c r="E34" i="4"/>
  <c r="L33" i="4"/>
  <c r="H33" i="4"/>
  <c r="E33" i="4"/>
  <c r="L32" i="4"/>
  <c r="H32" i="4"/>
  <c r="E32" i="4"/>
  <c r="K32" i="4" s="1"/>
  <c r="L31" i="4"/>
  <c r="K31" i="4"/>
  <c r="H31" i="4"/>
  <c r="E31" i="4"/>
  <c r="L30" i="4"/>
  <c r="H30" i="4"/>
  <c r="E30" i="4"/>
  <c r="F44" i="4" s="1"/>
  <c r="G44" i="4" s="1"/>
  <c r="I44" i="4" s="1"/>
  <c r="J44" i="4" s="1"/>
  <c r="L29" i="4"/>
  <c r="H29" i="4"/>
  <c r="E29" i="4"/>
  <c r="K29" i="4" s="1"/>
  <c r="L28" i="4"/>
  <c r="H28" i="4"/>
  <c r="E28" i="4"/>
  <c r="K28" i="4" s="1"/>
  <c r="L27" i="4"/>
  <c r="H27" i="4"/>
  <c r="E27" i="4"/>
  <c r="L26" i="4"/>
  <c r="K26" i="4"/>
  <c r="H26" i="4"/>
  <c r="E26" i="4"/>
  <c r="L25" i="4"/>
  <c r="H25" i="4"/>
  <c r="E25" i="4"/>
  <c r="K25" i="4" s="1"/>
  <c r="L24" i="4"/>
  <c r="H24" i="4"/>
  <c r="E24" i="4"/>
  <c r="F38" i="4" s="1"/>
  <c r="G38" i="4" s="1"/>
  <c r="I38" i="4" s="1"/>
  <c r="J38" i="4" s="1"/>
  <c r="L23" i="4"/>
  <c r="K23" i="4"/>
  <c r="H23" i="4"/>
  <c r="E23" i="4"/>
  <c r="L22" i="4"/>
  <c r="H22" i="4"/>
  <c r="E22" i="4"/>
  <c r="K22" i="4" s="1"/>
  <c r="L21" i="4"/>
  <c r="H21" i="4"/>
  <c r="E21" i="4"/>
  <c r="L20" i="4"/>
  <c r="K20" i="4"/>
  <c r="H20" i="4"/>
  <c r="E20" i="4"/>
  <c r="L19" i="4"/>
  <c r="H19" i="4"/>
  <c r="E19" i="4"/>
  <c r="K19" i="4" s="1"/>
  <c r="L18" i="4"/>
  <c r="H18" i="4"/>
  <c r="F18" i="4"/>
  <c r="G18" i="4" s="1"/>
  <c r="E18" i="4"/>
  <c r="F32" i="4" s="1"/>
  <c r="G32" i="4" s="1"/>
  <c r="I32" i="4" s="1"/>
  <c r="J32" i="4" s="1"/>
  <c r="L17" i="4"/>
  <c r="H17" i="4"/>
  <c r="F17" i="4"/>
  <c r="G17" i="4" s="1"/>
  <c r="I17" i="4" s="1"/>
  <c r="J17" i="4" s="1"/>
  <c r="E17" i="4"/>
  <c r="F20" i="4" s="1"/>
  <c r="G20" i="4" s="1"/>
  <c r="I20" i="4" s="1"/>
  <c r="J20" i="4" s="1"/>
  <c r="L44" i="3"/>
  <c r="K44" i="3"/>
  <c r="H44" i="3"/>
  <c r="E44" i="3"/>
  <c r="L43" i="3"/>
  <c r="H43" i="3"/>
  <c r="E43" i="3"/>
  <c r="K43" i="3" s="1"/>
  <c r="L42" i="3"/>
  <c r="H42" i="3"/>
  <c r="E42" i="3"/>
  <c r="L41" i="3"/>
  <c r="H41" i="3"/>
  <c r="E41" i="3"/>
  <c r="K41" i="3" s="1"/>
  <c r="L40" i="3"/>
  <c r="H40" i="3"/>
  <c r="E40" i="3"/>
  <c r="K40" i="3" s="1"/>
  <c r="L39" i="3"/>
  <c r="H39" i="3"/>
  <c r="E39" i="3"/>
  <c r="L38" i="3"/>
  <c r="H38" i="3"/>
  <c r="E38" i="3"/>
  <c r="K38" i="3" s="1"/>
  <c r="L37" i="3"/>
  <c r="H37" i="3"/>
  <c r="E37" i="3"/>
  <c r="K37" i="3" s="1"/>
  <c r="L36" i="3"/>
  <c r="K36" i="3"/>
  <c r="H36" i="3"/>
  <c r="E36" i="3"/>
  <c r="L35" i="3"/>
  <c r="H35" i="3"/>
  <c r="E35" i="3"/>
  <c r="K35" i="3" s="1"/>
  <c r="L34" i="3"/>
  <c r="H34" i="3"/>
  <c r="E34" i="3"/>
  <c r="K34" i="3" s="1"/>
  <c r="L33" i="3"/>
  <c r="K33" i="3"/>
  <c r="H33" i="3"/>
  <c r="E33" i="3"/>
  <c r="L32" i="3"/>
  <c r="H32" i="3"/>
  <c r="E32" i="3"/>
  <c r="K32" i="3" s="1"/>
  <c r="L31" i="3"/>
  <c r="H31" i="3"/>
  <c r="E31" i="3"/>
  <c r="K31" i="3" s="1"/>
  <c r="L30" i="3"/>
  <c r="H30" i="3"/>
  <c r="E30" i="3"/>
  <c r="L29" i="3"/>
  <c r="K29" i="3"/>
  <c r="H29" i="3"/>
  <c r="E29" i="3"/>
  <c r="L28" i="3"/>
  <c r="H28" i="3"/>
  <c r="E28" i="3"/>
  <c r="K28" i="3" s="1"/>
  <c r="L27" i="3"/>
  <c r="K27" i="3"/>
  <c r="H27" i="3"/>
  <c r="E27" i="3"/>
  <c r="L26" i="3"/>
  <c r="K26" i="3"/>
  <c r="H26" i="3"/>
  <c r="E26" i="3"/>
  <c r="L25" i="3"/>
  <c r="H25" i="3"/>
  <c r="E25" i="3"/>
  <c r="K25" i="3" s="1"/>
  <c r="L24" i="3"/>
  <c r="H24" i="3"/>
  <c r="F24" i="3"/>
  <c r="E24" i="3"/>
  <c r="L23" i="3"/>
  <c r="K23" i="3"/>
  <c r="H23" i="3"/>
  <c r="E23" i="3"/>
  <c r="L22" i="3"/>
  <c r="H22" i="3"/>
  <c r="E22" i="3"/>
  <c r="K22" i="3" s="1"/>
  <c r="L21" i="3"/>
  <c r="H21" i="3"/>
  <c r="F21" i="3"/>
  <c r="G21" i="3" s="1"/>
  <c r="E21" i="3"/>
  <c r="L20" i="3"/>
  <c r="H20" i="3"/>
  <c r="E20" i="3"/>
  <c r="K20" i="3" s="1"/>
  <c r="L19" i="3"/>
  <c r="H19" i="3"/>
  <c r="F19" i="3"/>
  <c r="E19" i="3"/>
  <c r="K19" i="3" s="1"/>
  <c r="L18" i="3"/>
  <c r="K18" i="3"/>
  <c r="H18" i="3"/>
  <c r="E18" i="3"/>
  <c r="L17" i="3"/>
  <c r="H17" i="3"/>
  <c r="F17" i="3"/>
  <c r="E17" i="3"/>
  <c r="F18" i="3" s="1"/>
  <c r="G18" i="3" s="1"/>
  <c r="G20" i="5" l="1"/>
  <c r="I20" i="5" s="1"/>
  <c r="J20" i="5" s="1"/>
  <c r="F26" i="5"/>
  <c r="G26" i="5" s="1"/>
  <c r="I26" i="5" s="1"/>
  <c r="J26" i="5" s="1"/>
  <c r="K38" i="5"/>
  <c r="G19" i="6"/>
  <c r="I19" i="6" s="1"/>
  <c r="J19" i="6" s="1"/>
  <c r="G17" i="3"/>
  <c r="I17" i="3" s="1"/>
  <c r="J17" i="3" s="1"/>
  <c r="K32" i="5"/>
  <c r="G17" i="7"/>
  <c r="I17" i="7" s="1"/>
  <c r="J17" i="7" s="1"/>
  <c r="K17" i="3"/>
  <c r="K17" i="7"/>
  <c r="F20" i="3"/>
  <c r="G20" i="3" s="1"/>
  <c r="I20" i="3" s="1"/>
  <c r="J20" i="3" s="1"/>
  <c r="F29" i="5"/>
  <c r="G29" i="5" s="1"/>
  <c r="I29" i="5" s="1"/>
  <c r="J29" i="5" s="1"/>
  <c r="K17" i="6"/>
  <c r="F27" i="3"/>
  <c r="G27" i="3" s="1"/>
  <c r="G19" i="3"/>
  <c r="I19" i="3" s="1"/>
  <c r="J19" i="3" s="1"/>
  <c r="F32" i="5"/>
  <c r="G32" i="5" s="1"/>
  <c r="I32" i="5" s="1"/>
  <c r="J32" i="5" s="1"/>
  <c r="F41" i="6"/>
  <c r="G41" i="6" s="1"/>
  <c r="I41" i="6" s="1"/>
  <c r="J41" i="6" s="1"/>
  <c r="F26" i="4"/>
  <c r="G26" i="4" s="1"/>
  <c r="I26" i="4" s="1"/>
  <c r="J26" i="4" s="1"/>
  <c r="F19" i="5"/>
  <c r="G19" i="5" s="1"/>
  <c r="I19" i="5" s="1"/>
  <c r="J19" i="5" s="1"/>
  <c r="F37" i="5"/>
  <c r="G37" i="5" s="1"/>
  <c r="I37" i="5" s="1"/>
  <c r="J37" i="5" s="1"/>
  <c r="F37" i="3"/>
  <c r="G37" i="3" s="1"/>
  <c r="I37" i="3" s="1"/>
  <c r="J37" i="3" s="1"/>
  <c r="K17" i="4"/>
  <c r="F35" i="6"/>
  <c r="G35" i="6" s="1"/>
  <c r="I35" i="6" s="1"/>
  <c r="J35" i="6" s="1"/>
  <c r="F35" i="3"/>
  <c r="G35" i="3" s="1"/>
  <c r="I35" i="3" s="1"/>
  <c r="J35" i="3" s="1"/>
  <c r="B50" i="5"/>
  <c r="G24" i="3"/>
  <c r="I24" i="3" s="1"/>
  <c r="J24" i="3" s="1"/>
  <c r="F42" i="3"/>
  <c r="G42" i="3" s="1"/>
  <c r="I42" i="3" s="1"/>
  <c r="J42" i="3" s="1"/>
  <c r="F43" i="3"/>
  <c r="G43" i="3" s="1"/>
  <c r="I43" i="3" s="1"/>
  <c r="J43" i="3" s="1"/>
  <c r="F44" i="3"/>
  <c r="G44" i="3" s="1"/>
  <c r="I44" i="3" s="1"/>
  <c r="J44" i="3" s="1"/>
  <c r="F39" i="3"/>
  <c r="G39" i="3" s="1"/>
  <c r="K30" i="3"/>
  <c r="K42" i="3"/>
  <c r="F36" i="3"/>
  <c r="G36" i="3" s="1"/>
  <c r="I36" i="3" s="1"/>
  <c r="J36" i="3" s="1"/>
  <c r="K24" i="3"/>
  <c r="B49" i="3" s="1"/>
  <c r="F30" i="3"/>
  <c r="G30" i="3" s="1"/>
  <c r="I30" i="3" s="1"/>
  <c r="J30" i="3" s="1"/>
  <c r="F32" i="3"/>
  <c r="G32" i="3" s="1"/>
  <c r="I32" i="3" s="1"/>
  <c r="J32" i="3" s="1"/>
  <c r="F25" i="3"/>
  <c r="G25" i="3" s="1"/>
  <c r="I25" i="3" s="1"/>
  <c r="J25" i="3" s="1"/>
  <c r="F38" i="3"/>
  <c r="G38" i="3" s="1"/>
  <c r="I38" i="3" s="1"/>
  <c r="J38" i="3" s="1"/>
  <c r="F23" i="6"/>
  <c r="G23" i="6" s="1"/>
  <c r="I23" i="6" s="1"/>
  <c r="J23" i="6" s="1"/>
  <c r="F29" i="6"/>
  <c r="G29" i="6" s="1"/>
  <c r="I29" i="6" s="1"/>
  <c r="J29" i="6" s="1"/>
  <c r="F30" i="7"/>
  <c r="G30" i="7" s="1"/>
  <c r="I30" i="7" s="1"/>
  <c r="J30" i="7" s="1"/>
  <c r="F27" i="7"/>
  <c r="G27" i="7" s="1"/>
  <c r="I27" i="7" s="1"/>
  <c r="J27" i="7" s="1"/>
  <c r="F24" i="7"/>
  <c r="G24" i="7" s="1"/>
  <c r="F21" i="7"/>
  <c r="G21" i="7" s="1"/>
  <c r="I21" i="7" s="1"/>
  <c r="J21" i="7" s="1"/>
  <c r="K18" i="7"/>
  <c r="B48" i="7" s="1"/>
  <c r="F33" i="6"/>
  <c r="G33" i="6" s="1"/>
  <c r="I33" i="6" s="1"/>
  <c r="J33" i="6" s="1"/>
  <c r="K21" i="6"/>
  <c r="F25" i="6"/>
  <c r="G25" i="6" s="1"/>
  <c r="I25" i="6" s="1"/>
  <c r="J25" i="6" s="1"/>
  <c r="F39" i="6"/>
  <c r="G39" i="6" s="1"/>
  <c r="I39" i="6" s="1"/>
  <c r="J39" i="6" s="1"/>
  <c r="K27" i="6"/>
  <c r="F31" i="6"/>
  <c r="G31" i="6" s="1"/>
  <c r="I31" i="6" s="1"/>
  <c r="J31" i="6" s="1"/>
  <c r="K33" i="6"/>
  <c r="B50" i="6" s="1"/>
  <c r="F37" i="6"/>
  <c r="G37" i="6" s="1"/>
  <c r="I37" i="6" s="1"/>
  <c r="J37" i="6" s="1"/>
  <c r="K39" i="6"/>
  <c r="F43" i="6"/>
  <c r="G43" i="6" s="1"/>
  <c r="I43" i="6" s="1"/>
  <c r="J43" i="6" s="1"/>
  <c r="F22" i="3"/>
  <c r="G22" i="3" s="1"/>
  <c r="I22" i="3" s="1"/>
  <c r="J22" i="3" s="1"/>
  <c r="I27" i="3"/>
  <c r="J27" i="3" s="1"/>
  <c r="F40" i="3"/>
  <c r="G40" i="3" s="1"/>
  <c r="I40" i="3" s="1"/>
  <c r="J40" i="3" s="1"/>
  <c r="F30" i="4"/>
  <c r="G30" i="4" s="1"/>
  <c r="I30" i="4" s="1"/>
  <c r="J30" i="4" s="1"/>
  <c r="F27" i="4"/>
  <c r="G27" i="4" s="1"/>
  <c r="I27" i="4" s="1"/>
  <c r="J27" i="4" s="1"/>
  <c r="F24" i="4"/>
  <c r="G24" i="4" s="1"/>
  <c r="F21" i="4"/>
  <c r="G21" i="4" s="1"/>
  <c r="K18" i="4"/>
  <c r="B48" i="4" s="1"/>
  <c r="I18" i="4"/>
  <c r="J18" i="4" s="1"/>
  <c r="F22" i="4"/>
  <c r="G22" i="4" s="1"/>
  <c r="I22" i="4" s="1"/>
  <c r="J22" i="4" s="1"/>
  <c r="F36" i="4"/>
  <c r="G36" i="4" s="1"/>
  <c r="I36" i="4" s="1"/>
  <c r="J36" i="4" s="1"/>
  <c r="K24" i="4"/>
  <c r="B49" i="4" s="1"/>
  <c r="I24" i="4"/>
  <c r="J24" i="4" s="1"/>
  <c r="F28" i="4"/>
  <c r="G28" i="4" s="1"/>
  <c r="I28" i="4" s="1"/>
  <c r="J28" i="4" s="1"/>
  <c r="F42" i="4"/>
  <c r="G42" i="4" s="1"/>
  <c r="I42" i="4" s="1"/>
  <c r="J42" i="4" s="1"/>
  <c r="K30" i="4"/>
  <c r="F34" i="4"/>
  <c r="G34" i="4" s="1"/>
  <c r="I34" i="4" s="1"/>
  <c r="J34" i="4" s="1"/>
  <c r="K36" i="4"/>
  <c r="F40" i="4"/>
  <c r="G40" i="4" s="1"/>
  <c r="I40" i="4" s="1"/>
  <c r="J40" i="4" s="1"/>
  <c r="K42" i="4"/>
  <c r="B51" i="4" s="1"/>
  <c r="F22" i="7"/>
  <c r="G22" i="7" s="1"/>
  <c r="I22" i="7" s="1"/>
  <c r="J22" i="7" s="1"/>
  <c r="F36" i="7"/>
  <c r="G36" i="7" s="1"/>
  <c r="I36" i="7" s="1"/>
  <c r="J36" i="7" s="1"/>
  <c r="K24" i="7"/>
  <c r="I24" i="7"/>
  <c r="J24" i="7" s="1"/>
  <c r="F28" i="7"/>
  <c r="G28" i="7" s="1"/>
  <c r="I28" i="7" s="1"/>
  <c r="J28" i="7" s="1"/>
  <c r="F42" i="7"/>
  <c r="G42" i="7" s="1"/>
  <c r="K30" i="7"/>
  <c r="F34" i="7"/>
  <c r="G34" i="7" s="1"/>
  <c r="I34" i="7" s="1"/>
  <c r="J34" i="7" s="1"/>
  <c r="K36" i="7"/>
  <c r="F40" i="7"/>
  <c r="G40" i="7" s="1"/>
  <c r="I40" i="7" s="1"/>
  <c r="J40" i="7" s="1"/>
  <c r="K42" i="7"/>
  <c r="I42" i="7"/>
  <c r="J42" i="7" s="1"/>
  <c r="G18" i="7"/>
  <c r="I18" i="7" s="1"/>
  <c r="J18" i="7" s="1"/>
  <c r="F20" i="7"/>
  <c r="G20" i="7" s="1"/>
  <c r="I20" i="7" s="1"/>
  <c r="J20" i="7" s="1"/>
  <c r="F26" i="7"/>
  <c r="G26" i="7" s="1"/>
  <c r="I26" i="7" s="1"/>
  <c r="J26" i="7" s="1"/>
  <c r="F32" i="7"/>
  <c r="G32" i="7" s="1"/>
  <c r="I32" i="7" s="1"/>
  <c r="J32" i="7" s="1"/>
  <c r="F38" i="7"/>
  <c r="G38" i="7" s="1"/>
  <c r="I38" i="7" s="1"/>
  <c r="J38" i="7" s="1"/>
  <c r="F44" i="7"/>
  <c r="G44" i="7" s="1"/>
  <c r="I44" i="7" s="1"/>
  <c r="J44" i="7" s="1"/>
  <c r="F30" i="6"/>
  <c r="G30" i="6" s="1"/>
  <c r="F27" i="6"/>
  <c r="G27" i="6" s="1"/>
  <c r="I27" i="6" s="1"/>
  <c r="J27" i="6" s="1"/>
  <c r="F24" i="6"/>
  <c r="G24" i="6" s="1"/>
  <c r="I24" i="6" s="1"/>
  <c r="J24" i="6" s="1"/>
  <c r="F21" i="6"/>
  <c r="G21" i="6" s="1"/>
  <c r="I21" i="6" s="1"/>
  <c r="J21" i="6" s="1"/>
  <c r="K18" i="6"/>
  <c r="I18" i="6"/>
  <c r="J18" i="6" s="1"/>
  <c r="E48" i="6" s="1"/>
  <c r="F22" i="6"/>
  <c r="G22" i="6" s="1"/>
  <c r="I22" i="6" s="1"/>
  <c r="J22" i="6" s="1"/>
  <c r="F36" i="6"/>
  <c r="G36" i="6" s="1"/>
  <c r="I36" i="6" s="1"/>
  <c r="J36" i="6" s="1"/>
  <c r="K24" i="6"/>
  <c r="F28" i="6"/>
  <c r="G28" i="6" s="1"/>
  <c r="I28" i="6" s="1"/>
  <c r="J28" i="6" s="1"/>
  <c r="F42" i="6"/>
  <c r="G42" i="6" s="1"/>
  <c r="I42" i="6" s="1"/>
  <c r="J42" i="6" s="1"/>
  <c r="K30" i="6"/>
  <c r="I30" i="6"/>
  <c r="J30" i="6" s="1"/>
  <c r="F34" i="6"/>
  <c r="G34" i="6" s="1"/>
  <c r="I34" i="6" s="1"/>
  <c r="J34" i="6" s="1"/>
  <c r="K36" i="6"/>
  <c r="F40" i="6"/>
  <c r="G40" i="6" s="1"/>
  <c r="I40" i="6" s="1"/>
  <c r="J40" i="6" s="1"/>
  <c r="K42" i="6"/>
  <c r="B51" i="6" s="1"/>
  <c r="K33" i="5"/>
  <c r="I21" i="3"/>
  <c r="J21" i="3" s="1"/>
  <c r="F34" i="3"/>
  <c r="G34" i="3" s="1"/>
  <c r="I34" i="3" s="1"/>
  <c r="J34" i="3" s="1"/>
  <c r="I39" i="3"/>
  <c r="J39" i="3" s="1"/>
  <c r="F23" i="5"/>
  <c r="G23" i="5" s="1"/>
  <c r="I23" i="5" s="1"/>
  <c r="J23" i="5" s="1"/>
  <c r="I18" i="3"/>
  <c r="J18" i="3" s="1"/>
  <c r="F26" i="3"/>
  <c r="G26" i="3" s="1"/>
  <c r="I26" i="3" s="1"/>
  <c r="J26" i="3" s="1"/>
  <c r="F31" i="3"/>
  <c r="G31" i="3" s="1"/>
  <c r="I31" i="3" s="1"/>
  <c r="J31" i="3" s="1"/>
  <c r="F20" i="6"/>
  <c r="G20" i="6" s="1"/>
  <c r="I20" i="6" s="1"/>
  <c r="J20" i="6" s="1"/>
  <c r="F26" i="6"/>
  <c r="G26" i="6" s="1"/>
  <c r="I26" i="6" s="1"/>
  <c r="J26" i="6" s="1"/>
  <c r="F32" i="6"/>
  <c r="G32" i="6" s="1"/>
  <c r="I32" i="6" s="1"/>
  <c r="J32" i="6" s="1"/>
  <c r="F38" i="6"/>
  <c r="G38" i="6" s="1"/>
  <c r="I38" i="6" s="1"/>
  <c r="J38" i="6" s="1"/>
  <c r="F44" i="6"/>
  <c r="G44" i="6" s="1"/>
  <c r="I44" i="6" s="1"/>
  <c r="J44" i="6" s="1"/>
  <c r="F33" i="4"/>
  <c r="G33" i="4" s="1"/>
  <c r="K21" i="4"/>
  <c r="I21" i="4"/>
  <c r="J21" i="4" s="1"/>
  <c r="F39" i="4"/>
  <c r="G39" i="4" s="1"/>
  <c r="I39" i="4" s="1"/>
  <c r="J39" i="4" s="1"/>
  <c r="K27" i="4"/>
  <c r="F31" i="4"/>
  <c r="G31" i="4" s="1"/>
  <c r="I31" i="4" s="1"/>
  <c r="J31" i="4" s="1"/>
  <c r="K39" i="4"/>
  <c r="F43" i="4"/>
  <c r="G43" i="4" s="1"/>
  <c r="I43" i="4" s="1"/>
  <c r="J43" i="4" s="1"/>
  <c r="F19" i="7"/>
  <c r="G19" i="7" s="1"/>
  <c r="I19" i="7" s="1"/>
  <c r="J19" i="7" s="1"/>
  <c r="F33" i="7"/>
  <c r="G33" i="7" s="1"/>
  <c r="I33" i="7" s="1"/>
  <c r="J33" i="7" s="1"/>
  <c r="K21" i="7"/>
  <c r="F25" i="7"/>
  <c r="G25" i="7" s="1"/>
  <c r="I25" i="7" s="1"/>
  <c r="J25" i="7" s="1"/>
  <c r="F39" i="7"/>
  <c r="G39" i="7" s="1"/>
  <c r="I39" i="7" s="1"/>
  <c r="J39" i="7" s="1"/>
  <c r="K27" i="7"/>
  <c r="F31" i="7"/>
  <c r="G31" i="7" s="1"/>
  <c r="I31" i="7" s="1"/>
  <c r="J31" i="7" s="1"/>
  <c r="K33" i="7"/>
  <c r="B50" i="7" s="1"/>
  <c r="F37" i="7"/>
  <c r="G37" i="7" s="1"/>
  <c r="I37" i="7" s="1"/>
  <c r="J37" i="7" s="1"/>
  <c r="K39" i="7"/>
  <c r="F43" i="7"/>
  <c r="G43" i="7" s="1"/>
  <c r="I43" i="7" s="1"/>
  <c r="J43" i="7" s="1"/>
  <c r="F33" i="5"/>
  <c r="G33" i="5" s="1"/>
  <c r="I33" i="5" s="1"/>
  <c r="J33" i="5" s="1"/>
  <c r="K21" i="5"/>
  <c r="F39" i="5"/>
  <c r="G39" i="5" s="1"/>
  <c r="I39" i="5" s="1"/>
  <c r="J39" i="5" s="1"/>
  <c r="K27" i="5"/>
  <c r="F31" i="5"/>
  <c r="G31" i="5" s="1"/>
  <c r="I31" i="5" s="1"/>
  <c r="J31" i="5" s="1"/>
  <c r="F43" i="5"/>
  <c r="G43" i="5" s="1"/>
  <c r="I43" i="5" s="1"/>
  <c r="J43" i="5" s="1"/>
  <c r="F35" i="5"/>
  <c r="G35" i="5" s="1"/>
  <c r="I35" i="5" s="1"/>
  <c r="J35" i="5" s="1"/>
  <c r="I33" i="3"/>
  <c r="J33" i="3" s="1"/>
  <c r="B50" i="3"/>
  <c r="F23" i="4"/>
  <c r="G23" i="4" s="1"/>
  <c r="I23" i="4" s="1"/>
  <c r="J23" i="4" s="1"/>
  <c r="F29" i="4"/>
  <c r="G29" i="4" s="1"/>
  <c r="I29" i="4" s="1"/>
  <c r="J29" i="4" s="1"/>
  <c r="F35" i="4"/>
  <c r="G35" i="4" s="1"/>
  <c r="I35" i="4" s="1"/>
  <c r="J35" i="4" s="1"/>
  <c r="F41" i="4"/>
  <c r="G41" i="4" s="1"/>
  <c r="I41" i="4" s="1"/>
  <c r="J41" i="4" s="1"/>
  <c r="F30" i="5"/>
  <c r="G30" i="5" s="1"/>
  <c r="I30" i="5" s="1"/>
  <c r="J30" i="5" s="1"/>
  <c r="F27" i="5"/>
  <c r="G27" i="5" s="1"/>
  <c r="I27" i="5" s="1"/>
  <c r="J27" i="5" s="1"/>
  <c r="F24" i="5"/>
  <c r="G24" i="5" s="1"/>
  <c r="F21" i="5"/>
  <c r="G21" i="5" s="1"/>
  <c r="I21" i="5" s="1"/>
  <c r="J21" i="5" s="1"/>
  <c r="K18" i="5"/>
  <c r="I18" i="5"/>
  <c r="J18" i="5" s="1"/>
  <c r="F23" i="7"/>
  <c r="G23" i="7" s="1"/>
  <c r="I23" i="7" s="1"/>
  <c r="J23" i="7" s="1"/>
  <c r="F29" i="7"/>
  <c r="G29" i="7" s="1"/>
  <c r="I29" i="7" s="1"/>
  <c r="J29" i="7" s="1"/>
  <c r="F35" i="7"/>
  <c r="G35" i="7" s="1"/>
  <c r="I35" i="7" s="1"/>
  <c r="J35" i="7" s="1"/>
  <c r="F41" i="7"/>
  <c r="G41" i="7" s="1"/>
  <c r="I41" i="7" s="1"/>
  <c r="J41" i="7" s="1"/>
  <c r="K39" i="5"/>
  <c r="F29" i="3"/>
  <c r="G29" i="3" s="1"/>
  <c r="I29" i="3" s="1"/>
  <c r="J29" i="3" s="1"/>
  <c r="F41" i="5"/>
  <c r="G41" i="5" s="1"/>
  <c r="I41" i="5" s="1"/>
  <c r="J41" i="5" s="1"/>
  <c r="F19" i="4"/>
  <c r="G19" i="4" s="1"/>
  <c r="I19" i="4" s="1"/>
  <c r="J19" i="4" s="1"/>
  <c r="F25" i="4"/>
  <c r="G25" i="4" s="1"/>
  <c r="I25" i="4" s="1"/>
  <c r="J25" i="4" s="1"/>
  <c r="K33" i="4"/>
  <c r="B50" i="4" s="1"/>
  <c r="I33" i="4"/>
  <c r="J33" i="4" s="1"/>
  <c r="F37" i="4"/>
  <c r="G37" i="4" s="1"/>
  <c r="I37" i="4" s="1"/>
  <c r="J37" i="4" s="1"/>
  <c r="F23" i="3"/>
  <c r="G23" i="3" s="1"/>
  <c r="I23" i="3" s="1"/>
  <c r="J23" i="3" s="1"/>
  <c r="F28" i="3"/>
  <c r="G28" i="3" s="1"/>
  <c r="I28" i="3" s="1"/>
  <c r="J28" i="3" s="1"/>
  <c r="F41" i="3"/>
  <c r="G41" i="3" s="1"/>
  <c r="I41" i="3" s="1"/>
  <c r="J41" i="3" s="1"/>
  <c r="K21" i="3"/>
  <c r="B48" i="3" s="1"/>
  <c r="F33" i="3"/>
  <c r="G33" i="3" s="1"/>
  <c r="K39" i="3"/>
  <c r="B51" i="3" s="1"/>
  <c r="F22" i="5"/>
  <c r="G22" i="5" s="1"/>
  <c r="I22" i="5" s="1"/>
  <c r="J22" i="5" s="1"/>
  <c r="F36" i="5"/>
  <c r="G36" i="5" s="1"/>
  <c r="I36" i="5" s="1"/>
  <c r="J36" i="5" s="1"/>
  <c r="K24" i="5"/>
  <c r="B49" i="5" s="1"/>
  <c r="I24" i="5"/>
  <c r="J24" i="5" s="1"/>
  <c r="F28" i="5"/>
  <c r="G28" i="5" s="1"/>
  <c r="I28" i="5" s="1"/>
  <c r="J28" i="5" s="1"/>
  <c r="F42" i="5"/>
  <c r="G42" i="5" s="1"/>
  <c r="I42" i="5" s="1"/>
  <c r="J42" i="5" s="1"/>
  <c r="K30" i="5"/>
  <c r="F34" i="5"/>
  <c r="G34" i="5" s="1"/>
  <c r="I34" i="5" s="1"/>
  <c r="J34" i="5" s="1"/>
  <c r="K36" i="5"/>
  <c r="F40" i="5"/>
  <c r="G40" i="5" s="1"/>
  <c r="I40" i="5" s="1"/>
  <c r="J40" i="5" s="1"/>
  <c r="K42" i="5"/>
  <c r="B51" i="5" s="1"/>
  <c r="E51" i="7" l="1"/>
  <c r="E48" i="5"/>
  <c r="B49" i="7"/>
  <c r="E48" i="4"/>
  <c r="B48" i="6"/>
  <c r="E49" i="6"/>
  <c r="E51" i="5"/>
  <c r="E51" i="6"/>
  <c r="E50" i="6"/>
  <c r="B49" i="6"/>
  <c r="C49" i="6" s="1"/>
  <c r="E51" i="3"/>
  <c r="E49" i="7"/>
  <c r="B51" i="7"/>
  <c r="E48" i="3"/>
  <c r="E49" i="3"/>
  <c r="C51" i="5"/>
  <c r="D51" i="5" s="1"/>
  <c r="C51" i="4"/>
  <c r="D51" i="4" s="1"/>
  <c r="C50" i="6"/>
  <c r="D50" i="6" s="1"/>
  <c r="F50" i="6" s="1"/>
  <c r="C51" i="7"/>
  <c r="D51" i="7" s="1"/>
  <c r="F51" i="7" s="1"/>
  <c r="E50" i="4"/>
  <c r="C48" i="7"/>
  <c r="D48" i="7"/>
  <c r="E50" i="7"/>
  <c r="C49" i="4"/>
  <c r="D49" i="4" s="1"/>
  <c r="E49" i="5"/>
  <c r="E51" i="4"/>
  <c r="C50" i="4"/>
  <c r="D50" i="4" s="1"/>
  <c r="C49" i="7"/>
  <c r="D49" i="7" s="1"/>
  <c r="F49" i="7" s="1"/>
  <c r="E48" i="7"/>
  <c r="E50" i="5"/>
  <c r="E49" i="4"/>
  <c r="C49" i="5"/>
  <c r="D49" i="5" s="1"/>
  <c r="C48" i="4"/>
  <c r="D48" i="4" s="1"/>
  <c r="F48" i="4" s="1"/>
  <c r="G48" i="4" s="1"/>
  <c r="E50" i="3"/>
  <c r="C50" i="7"/>
  <c r="D50" i="7"/>
  <c r="C51" i="3"/>
  <c r="D51" i="3" s="1"/>
  <c r="F51" i="3" s="1"/>
  <c r="C50" i="3"/>
  <c r="D50" i="3" s="1"/>
  <c r="C48" i="6"/>
  <c r="D48" i="6"/>
  <c r="F48" i="6" s="1"/>
  <c r="G48" i="6" s="1"/>
  <c r="C48" i="3"/>
  <c r="D48" i="3" s="1"/>
  <c r="F48" i="3" s="1"/>
  <c r="G48" i="3" s="1"/>
  <c r="C50" i="5"/>
  <c r="D50" i="5" s="1"/>
  <c r="C51" i="6"/>
  <c r="D51" i="6" s="1"/>
  <c r="F51" i="6" s="1"/>
  <c r="C49" i="3"/>
  <c r="D49" i="3"/>
  <c r="F49" i="3" s="1"/>
  <c r="B48" i="5"/>
  <c r="D49" i="6" l="1"/>
  <c r="F49" i="6" s="1"/>
  <c r="F49" i="5"/>
  <c r="F51" i="5"/>
  <c r="H48" i="4"/>
  <c r="G49" i="3"/>
  <c r="H48" i="3"/>
  <c r="H48" i="6"/>
  <c r="G49" i="6"/>
  <c r="F51" i="4"/>
  <c r="F50" i="5"/>
  <c r="C48" i="5"/>
  <c r="D48" i="5" s="1"/>
  <c r="F48" i="5" s="1"/>
  <c r="G48" i="5" s="1"/>
  <c r="F48" i="7"/>
  <c r="G48" i="7" s="1"/>
  <c r="F50" i="3"/>
  <c r="F50" i="7"/>
  <c r="F49" i="4"/>
  <c r="G49" i="4" s="1"/>
  <c r="F50" i="4"/>
  <c r="H49" i="4" l="1"/>
  <c r="G50" i="4"/>
  <c r="H48" i="7"/>
  <c r="G49" i="7"/>
  <c r="H48" i="5"/>
  <c r="G49" i="5"/>
  <c r="H49" i="6"/>
  <c r="G50" i="6"/>
  <c r="H49" i="3"/>
  <c r="G50" i="3"/>
  <c r="H49" i="5" l="1"/>
  <c r="G50" i="5"/>
  <c r="H50" i="3"/>
  <c r="G51" i="3"/>
  <c r="H50" i="4"/>
  <c r="G51" i="4"/>
  <c r="H50" i="6"/>
  <c r="G51" i="6"/>
  <c r="H49" i="7"/>
  <c r="G50" i="7"/>
  <c r="G51" i="7" l="1"/>
  <c r="H50" i="7"/>
  <c r="D8" i="1"/>
  <c r="H51" i="6"/>
  <c r="E8" i="1" s="1"/>
  <c r="H51" i="4"/>
  <c r="E6" i="1" s="1"/>
  <c r="D6" i="1"/>
  <c r="H51" i="3"/>
  <c r="E5" i="1" s="1"/>
  <c r="D5" i="1"/>
  <c r="H50" i="5"/>
  <c r="G51" i="5"/>
  <c r="D7" i="1" l="1"/>
  <c r="H51" i="5"/>
  <c r="E7" i="1" s="1"/>
  <c r="E11" i="1" s="1"/>
  <c r="H51" i="7"/>
  <c r="E9" i="1" s="1"/>
  <c r="F9" i="1" s="1"/>
  <c r="D9" i="1"/>
  <c r="F6" i="1" l="1"/>
  <c r="F7" i="1"/>
  <c r="F8" i="1"/>
  <c r="F5" i="1"/>
  <c r="E13" i="1"/>
  <c r="E12" i="1"/>
</calcChain>
</file>

<file path=xl/sharedStrings.xml><?xml version="1.0" encoding="utf-8"?>
<sst xmlns="http://schemas.openxmlformats.org/spreadsheetml/2006/main" count="243" uniqueCount="100">
  <si>
    <t>판정 요약 — 4주 후 페르소나 레벨 격차</t>
  </si>
  <si>
    <t>완료 기준: 격차가 '따라잡을 만하다'고 느껴지는가?</t>
  </si>
  <si>
    <t>페르소나</t>
  </si>
  <si>
    <t>유형</t>
  </si>
  <si>
    <t>Tier</t>
  </si>
  <si>
    <t>최종 누적XP</t>
  </si>
  <si>
    <t>최종 레벨</t>
  </si>
  <si>
    <t>최소 대비 레벨배수</t>
  </si>
  <si>
    <t>P1_안움직임</t>
  </si>
  <si>
    <t>거의 안 움직임</t>
  </si>
  <si>
    <t>B</t>
  </si>
  <si>
    <t>P2_주3걷기</t>
  </si>
  <si>
    <t>주3 걷기</t>
  </si>
  <si>
    <t>P3_주5러너</t>
  </si>
  <si>
    <t>주5 러너</t>
  </si>
  <si>
    <t>A</t>
  </si>
  <si>
    <t>P4_헬스만</t>
  </si>
  <si>
    <t>헬스만</t>
  </si>
  <si>
    <t>P5_들쑥날쑥</t>
  </si>
  <si>
    <t>들쑥날쑥</t>
  </si>
  <si>
    <t>최고/최저 레벨 배수</t>
  </si>
  <si>
    <t>레벨 스프레드(최고-최저)</t>
  </si>
  <si>
    <t>중앙값 레벨</t>
  </si>
  <si>
    <t>Project NEXUS — XP 산식 파라미터 (v0.3 근거: MVP.md §5)</t>
  </si>
  <si>
    <t>파란 셀만 바꾸면 전체 시트가 재계산됩니다. (이슈 #2 튜닝 레버)</t>
  </si>
  <si>
    <t>파라미터</t>
  </si>
  <si>
    <t>이름</t>
  </si>
  <si>
    <t>값</t>
  </si>
  <si>
    <t>기본점수 — 걷기 (pt/분)</t>
  </si>
  <si>
    <t>walkPt</t>
  </si>
  <si>
    <t>기본점수 — 러닝 (pt/분)</t>
  </si>
  <si>
    <t>runPt</t>
  </si>
  <si>
    <t>기본점수 — 근력 (pt/분)</t>
  </si>
  <si>
    <t>strPt</t>
  </si>
  <si>
    <t>개인계수 하한</t>
  </si>
  <si>
    <t>coefMin</t>
  </si>
  <si>
    <t>개인계수 상한</t>
  </si>
  <si>
    <t>coefMax</t>
  </si>
  <si>
    <t>개인계수 이동평균 창(일)</t>
  </si>
  <si>
    <t>coefWindow</t>
  </si>
  <si>
    <t>신뢰계수 — Tier A(워치)</t>
  </si>
  <si>
    <t>tierA</t>
  </si>
  <si>
    <t>신뢰계수 — Tier B(폰)</t>
  </si>
  <si>
    <t>tierB</t>
  </si>
  <si>
    <t>일일 knee (초과분 절반)</t>
  </si>
  <si>
    <t>dailyKnee</t>
  </si>
  <si>
    <t>knee 초과분 체감율</t>
  </si>
  <si>
    <t>halfRate</t>
  </si>
  <si>
    <t>일일 하드캡</t>
  </si>
  <si>
    <t>dailyCap</t>
  </si>
  <si>
    <t>밸런스 보너스 — 최소 활동일</t>
  </si>
  <si>
    <t>balActive</t>
  </si>
  <si>
    <t>밸런스 보너스 — 최소 휴식일</t>
  </si>
  <si>
    <t>balRest</t>
  </si>
  <si>
    <t>밸런스 보너스율</t>
  </si>
  <si>
    <t>balBonus</t>
  </si>
  <si>
    <t>레벨 계수 C (누적XP=C×N^k)</t>
  </si>
  <si>
    <t>levelC</t>
  </si>
  <si>
    <t>레벨 지수 k</t>
  </si>
  <si>
    <t>levelExp</t>
  </si>
  <si>
    <t>거의 안 움직임  ·  Tier B(폰)  ·  시드 baseline=3.21pt/일</t>
  </si>
  <si>
    <t>일</t>
  </si>
  <si>
    <t>걷기(분)</t>
  </si>
  <si>
    <t>러닝(분)</t>
  </si>
  <si>
    <t>근력(분)</t>
  </si>
  <si>
    <t>기본점수</t>
  </si>
  <si>
    <t>14일평균</t>
  </si>
  <si>
    <t>개인계수</t>
  </si>
  <si>
    <t>신뢰계수</t>
  </si>
  <si>
    <t>raw XP</t>
  </si>
  <si>
    <t>일일 XP</t>
  </si>
  <si>
    <t>활동</t>
  </si>
  <si>
    <t>주차</t>
  </si>
  <si>
    <t>기준 D-14</t>
  </si>
  <si>
    <t>기준 D-13</t>
  </si>
  <si>
    <t>기준 D-12</t>
  </si>
  <si>
    <t>기준 D-11</t>
  </si>
  <si>
    <t>기준 D-10</t>
  </si>
  <si>
    <t>기준 D-9</t>
  </si>
  <si>
    <t>기준 D-8</t>
  </si>
  <si>
    <t>기준 D-7</t>
  </si>
  <si>
    <t>기준 D-6</t>
  </si>
  <si>
    <t>기준 D-5</t>
  </si>
  <si>
    <t>기준 D-4</t>
  </si>
  <si>
    <t>기준 D-3</t>
  </si>
  <si>
    <t>기준 D-2</t>
  </si>
  <si>
    <t>기준 D-1</t>
  </si>
  <si>
    <t>주간 정산 (밸런스 보너스 = 활동≥balActive &amp; 휴식≥balRest → +balBonus)</t>
  </si>
  <si>
    <t>주</t>
  </si>
  <si>
    <t>활동일</t>
  </si>
  <si>
    <t>휴식일</t>
  </si>
  <si>
    <t>밸런스배수</t>
  </si>
  <si>
    <t>주간기본XP</t>
  </si>
  <si>
    <t>주간XP</t>
  </si>
  <si>
    <t>누적XP</t>
  </si>
  <si>
    <t>레벨</t>
  </si>
  <si>
    <t>주3 걷기  ·  Tier B(폰)  ·  시드 baseline=13.04pt/일</t>
  </si>
  <si>
    <t>주5 러너  ·  Tier A(워치)  ·  시드 baseline=51.07pt/일</t>
  </si>
  <si>
    <t>헬스만  ·  Tier A(워치)  ·  시드 baseline=43.66pt/일</t>
  </si>
  <si>
    <t>들쑥날쑥  ·  Tier B(폰)  ·  시드 baseline=29.73pt/일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</si>
</sst>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3"/>
      <name val="Arial"/>
    </font>
    <font>
      <i/>
      <sz val="9"/>
      <name val="Arial"/>
    </font>
    <font>
      <b/>
      <sz val="11"/>
      <color rgb="FFFFFFFF"/>
      <name val="Arial"/>
    </font>
    <font>
      <sz val="11"/>
      <color rgb="FF000000"/>
      <name val="Arial"/>
    </font>
    <font>
      <i/>
      <sz val="11"/>
      <color rgb="FF808080"/>
      <name val="Arial"/>
    </font>
    <font>
      <sz val="11"/>
      <color rgb="FF0000FF"/>
      <name val="Arial"/>
    </font>
    <font>
      <sz val="8"/>
      <color rgb="FF808080"/>
      <name val="Arial"/>
    </font>
    <font>
      <b/>
      <sz val="11"/>
      <name val="Arial"/>
    </font>
    <font>
      <sz val="11"/>
      <color rgb="FF008000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9" fillId="0" borderId="1" xfId="0" applyNumberFormat="1" applyFont="1" applyBorder="1"/>
    <xf numFmtId="2" fontId="0" fillId="0" borderId="1" xfId="0" applyNumberFormat="1" applyBorder="1"/>
    <xf numFmtId="0" fontId="8" fillId="0" borderId="0" xfId="0" applyFont="1"/>
    <xf numFmtId="2" fontId="0" fillId="0" borderId="0" xfId="0" applyNumberFormat="1"/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ko-KR"/>
              <a:t>4</a:t>
            </a:r>
            <a:r>
              <a:rPr lang="ko-KR" altLang="en-US"/>
              <a:t>주 레벨 궤적 </a:t>
            </a:r>
            <a:r>
              <a:rPr lang="en-US" altLang="ko-KR"/>
              <a:t>(</a:t>
            </a:r>
            <a:r>
              <a:rPr lang="ko-KR" altLang="en-US"/>
              <a:t>페르소나별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안움직임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P1_안움직임!$A$48:$A$51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P1_안움직임!$H$48:$H$51</c:f>
              <c:numCache>
                <c:formatCode>General</c:formatCode>
                <c:ptCount val="4"/>
                <c:pt idx="0">
                  <c:v>0.42850435855192909</c:v>
                </c:pt>
                <c:pt idx="1">
                  <c:v>0.71078572177536148</c:v>
                </c:pt>
                <c:pt idx="2">
                  <c:v>0.92698381150533138</c:v>
                </c:pt>
                <c:pt idx="3">
                  <c:v>1.0960620208611336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0F-4FBD-AE3B-62DB7E9E19AA}"/>
            </c:ext>
          </c:extLst>
        </c:ser>
        <c:ser>
          <c:idx val="1"/>
          <c:order val="1"/>
          <c:tx>
            <c:v>주3걷기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P1_안움직임!$A$48:$A$51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P2_주3걷기!$H$48:$H$51</c:f>
              <c:numCache>
                <c:formatCode>General</c:formatCode>
                <c:ptCount val="4"/>
                <c:pt idx="0">
                  <c:v>1.0960620208611336</c:v>
                </c:pt>
                <c:pt idx="1">
                  <c:v>1.752754329346554</c:v>
                </c:pt>
                <c:pt idx="2">
                  <c:v>2.2799008786548227</c:v>
                </c:pt>
                <c:pt idx="3">
                  <c:v>2.7874175674578114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0F-4FBD-AE3B-62DB7E9E19AA}"/>
            </c:ext>
          </c:extLst>
        </c:ser>
        <c:ser>
          <c:idx val="2"/>
          <c:order val="2"/>
          <c:tx>
            <c:v>주5러너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P1_안움직임!$A$48:$A$51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P3_주5러너!$H$48:$H$51</c:f>
              <c:numCache>
                <c:formatCode>General</c:formatCode>
                <c:ptCount val="4"/>
                <c:pt idx="0">
                  <c:v>3.1573767107139776</c:v>
                </c:pt>
                <c:pt idx="1">
                  <c:v>5.0712957431079921</c:v>
                </c:pt>
                <c:pt idx="2">
                  <c:v>6.6941564254196768</c:v>
                </c:pt>
                <c:pt idx="3">
                  <c:v>8.0942001720397059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90F-4FBD-AE3B-62DB7E9E19AA}"/>
            </c:ext>
          </c:extLst>
        </c:ser>
        <c:ser>
          <c:idx val="3"/>
          <c:order val="3"/>
          <c:tx>
            <c:v>헬스만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P1_안움직임!$A$48:$A$51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P4_헬스만!$H$48:$H$51</c:f>
              <c:numCache>
                <c:formatCode>General</c:formatCode>
                <c:ptCount val="4"/>
                <c:pt idx="0">
                  <c:v>2.9918528949213421</c:v>
                </c:pt>
                <c:pt idx="1">
                  <c:v>4.7887656884842196</c:v>
                </c:pt>
                <c:pt idx="2">
                  <c:v>6.2785008660113144</c:v>
                </c:pt>
                <c:pt idx="3">
                  <c:v>7.632942277537337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90F-4FBD-AE3B-62DB7E9E19AA}"/>
            </c:ext>
          </c:extLst>
        </c:ser>
        <c:ser>
          <c:idx val="4"/>
          <c:order val="4"/>
          <c:tx>
            <c:v>들쑥날쑥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P1_안움직임!$A$48:$A$51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P5_들쑥날쑥!$H$48:$H$51</c:f>
              <c:numCache>
                <c:formatCode>General</c:formatCode>
                <c:ptCount val="4"/>
                <c:pt idx="0">
                  <c:v>2.7054809503638548</c:v>
                </c:pt>
                <c:pt idx="1">
                  <c:v>2.7466661486113031</c:v>
                </c:pt>
                <c:pt idx="2">
                  <c:v>4.2904781366624176</c:v>
                </c:pt>
                <c:pt idx="3">
                  <c:v>4.8998935410333795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90F-4FBD-AE3B-62DB7E9E1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주차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레벨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7.399999999999999" x14ac:dyDescent="0.4"/>
  <cols>
    <col min="1" max="1" width="14" customWidth="1"/>
    <col min="2" max="2" width="16" customWidth="1"/>
    <col min="3" max="3" width="7" customWidth="1"/>
    <col min="4" max="4" width="14" customWidth="1"/>
    <col min="5" max="5" width="12" customWidth="1"/>
    <col min="6" max="6" width="18" customWidth="1"/>
  </cols>
  <sheetData>
    <row r="1" spans="1:6" ht="18" customHeight="1" x14ac:dyDescent="0.4">
      <c r="A1" s="1" t="s">
        <v>0</v>
      </c>
    </row>
    <row r="2" spans="1:6" x14ac:dyDescent="0.4">
      <c r="A2" s="2" t="s">
        <v>1</v>
      </c>
    </row>
    <row r="4" spans="1:6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4">
      <c r="A5" s="4" t="s">
        <v>8</v>
      </c>
      <c r="B5" s="4" t="s">
        <v>9</v>
      </c>
      <c r="C5" s="5" t="s">
        <v>10</v>
      </c>
      <c r="D5" s="6">
        <f>P1_안움직임!$G$51</f>
        <v>114.75</v>
      </c>
      <c r="E5" s="6">
        <f>P1_안움직임!$H$51</f>
        <v>1.0960620208611336</v>
      </c>
      <c r="F5" s="7">
        <f>E5/MIN($E$5:$E$9)</f>
        <v>1</v>
      </c>
    </row>
    <row r="6" spans="1:6" x14ac:dyDescent="0.4">
      <c r="A6" s="4" t="s">
        <v>11</v>
      </c>
      <c r="B6" s="4" t="s">
        <v>12</v>
      </c>
      <c r="C6" s="5" t="s">
        <v>10</v>
      </c>
      <c r="D6" s="6">
        <f>P2_주3걷기!$G$51</f>
        <v>465.375</v>
      </c>
      <c r="E6" s="6">
        <f>P2_주3걷기!$H$51</f>
        <v>2.7874175674578114</v>
      </c>
      <c r="F6" s="7">
        <f>E6/MIN($E$5:$E$9)</f>
        <v>2.5431202928351127</v>
      </c>
    </row>
    <row r="7" spans="1:6" x14ac:dyDescent="0.4">
      <c r="A7" s="4" t="s">
        <v>13</v>
      </c>
      <c r="B7" s="4" t="s">
        <v>14</v>
      </c>
      <c r="C7" s="5" t="s">
        <v>15</v>
      </c>
      <c r="D7" s="6">
        <f>P3_주5러너!$G$51</f>
        <v>2302.8248675724062</v>
      </c>
      <c r="E7" s="6">
        <f>P3_주5러너!$H$51</f>
        <v>8.0942001720397059</v>
      </c>
      <c r="F7" s="7">
        <f>E7/MIN($E$5:$E$9)</f>
        <v>7.3848012411564135</v>
      </c>
    </row>
    <row r="8" spans="1:6" x14ac:dyDescent="0.4">
      <c r="A8" s="4" t="s">
        <v>16</v>
      </c>
      <c r="B8" s="4" t="s">
        <v>17</v>
      </c>
      <c r="C8" s="5" t="s">
        <v>15</v>
      </c>
      <c r="D8" s="6">
        <f>P4_헬스만!$G$51</f>
        <v>2108.8125</v>
      </c>
      <c r="E8" s="6">
        <f>P4_헬스만!$H$51</f>
        <v>7.632942277537337</v>
      </c>
      <c r="F8" s="7">
        <f>E8/MIN($E$5:$E$9)</f>
        <v>6.9639693121931447</v>
      </c>
    </row>
    <row r="9" spans="1:6" x14ac:dyDescent="0.4">
      <c r="A9" s="4" t="s">
        <v>18</v>
      </c>
      <c r="B9" s="4" t="s">
        <v>19</v>
      </c>
      <c r="C9" s="5" t="s">
        <v>10</v>
      </c>
      <c r="D9" s="6">
        <f>P5_들쑥날쑥!$G$51</f>
        <v>1084.625889084507</v>
      </c>
      <c r="E9" s="6">
        <f>P5_들쑥날쑥!$H$51</f>
        <v>4.8998935410333795</v>
      </c>
      <c r="F9" s="7">
        <f>E9/MIN($E$5:$E$9)</f>
        <v>4.470452809945666</v>
      </c>
    </row>
    <row r="11" spans="1:6" x14ac:dyDescent="0.4">
      <c r="A11" s="8" t="s">
        <v>20</v>
      </c>
      <c r="E11" s="9">
        <f>MAX(E5:E9)/MIN(E5:E9)</f>
        <v>7.3848012411564135</v>
      </c>
    </row>
    <row r="12" spans="1:6" x14ac:dyDescent="0.4">
      <c r="A12" s="8" t="s">
        <v>21</v>
      </c>
      <c r="E12" s="9">
        <f>MAX(E5:E9)-MIN(E5:E9)</f>
        <v>6.9981381511785727</v>
      </c>
    </row>
    <row r="13" spans="1:6" x14ac:dyDescent="0.4">
      <c r="A13" s="8" t="s">
        <v>22</v>
      </c>
      <c r="E13" s="9">
        <f>MEDIAN(E5:E9)</f>
        <v>4.8998935410333795</v>
      </c>
    </row>
  </sheetData>
  <phoneticPr fontId="10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7.399999999999999" x14ac:dyDescent="0.4"/>
  <cols>
    <col min="1" max="1" width="34" customWidth="1"/>
    <col min="2" max="2" width="14" customWidth="1"/>
    <col min="3" max="3" width="10" customWidth="1"/>
  </cols>
  <sheetData>
    <row r="1" spans="1:3" ht="18" customHeight="1" x14ac:dyDescent="0.4">
      <c r="A1" s="1" t="s">
        <v>23</v>
      </c>
    </row>
    <row r="2" spans="1:3" x14ac:dyDescent="0.4">
      <c r="A2" s="2" t="s">
        <v>24</v>
      </c>
    </row>
    <row r="4" spans="1:3" x14ac:dyDescent="0.4">
      <c r="A4" s="3" t="s">
        <v>25</v>
      </c>
      <c r="B4" s="3" t="s">
        <v>26</v>
      </c>
      <c r="C4" s="3" t="s">
        <v>27</v>
      </c>
    </row>
    <row r="5" spans="1:3" x14ac:dyDescent="0.4">
      <c r="A5" s="10" t="s">
        <v>28</v>
      </c>
      <c r="B5" s="11" t="s">
        <v>29</v>
      </c>
      <c r="C5" s="12">
        <v>1</v>
      </c>
    </row>
    <row r="6" spans="1:3" x14ac:dyDescent="0.4">
      <c r="A6" s="10" t="s">
        <v>30</v>
      </c>
      <c r="B6" s="11" t="s">
        <v>31</v>
      </c>
      <c r="C6" s="12">
        <v>2</v>
      </c>
    </row>
    <row r="7" spans="1:3" x14ac:dyDescent="0.4">
      <c r="A7" s="10" t="s">
        <v>32</v>
      </c>
      <c r="B7" s="11" t="s">
        <v>33</v>
      </c>
      <c r="C7" s="12">
        <v>1.5</v>
      </c>
    </row>
    <row r="8" spans="1:3" x14ac:dyDescent="0.4">
      <c r="A8" s="10" t="s">
        <v>34</v>
      </c>
      <c r="B8" s="11" t="s">
        <v>35</v>
      </c>
      <c r="C8" s="12">
        <v>0.8</v>
      </c>
    </row>
    <row r="9" spans="1:3" x14ac:dyDescent="0.4">
      <c r="A9" s="10" t="s">
        <v>36</v>
      </c>
      <c r="B9" s="11" t="s">
        <v>37</v>
      </c>
      <c r="C9" s="12">
        <v>1.5</v>
      </c>
    </row>
    <row r="10" spans="1:3" x14ac:dyDescent="0.4">
      <c r="A10" s="10" t="s">
        <v>38</v>
      </c>
      <c r="B10" s="11" t="s">
        <v>39</v>
      </c>
      <c r="C10" s="12">
        <v>14</v>
      </c>
    </row>
    <row r="11" spans="1:3" x14ac:dyDescent="0.4">
      <c r="A11" s="10" t="s">
        <v>40</v>
      </c>
      <c r="B11" s="11" t="s">
        <v>41</v>
      </c>
      <c r="C11" s="12">
        <v>1</v>
      </c>
    </row>
    <row r="12" spans="1:3" x14ac:dyDescent="0.4">
      <c r="A12" s="10" t="s">
        <v>42</v>
      </c>
      <c r="B12" s="11" t="s">
        <v>43</v>
      </c>
      <c r="C12" s="12">
        <v>0.85</v>
      </c>
    </row>
    <row r="13" spans="1:3" x14ac:dyDescent="0.4">
      <c r="A13" s="10" t="s">
        <v>44</v>
      </c>
      <c r="B13" s="11" t="s">
        <v>45</v>
      </c>
      <c r="C13" s="12">
        <v>200</v>
      </c>
    </row>
    <row r="14" spans="1:3" x14ac:dyDescent="0.4">
      <c r="A14" s="10" t="s">
        <v>46</v>
      </c>
      <c r="B14" s="11" t="s">
        <v>47</v>
      </c>
      <c r="C14" s="12">
        <v>0.5</v>
      </c>
    </row>
    <row r="15" spans="1:3" x14ac:dyDescent="0.4">
      <c r="A15" s="10" t="s">
        <v>48</v>
      </c>
      <c r="B15" s="11" t="s">
        <v>49</v>
      </c>
      <c r="C15" s="12">
        <v>300</v>
      </c>
    </row>
    <row r="16" spans="1:3" x14ac:dyDescent="0.4">
      <c r="A16" s="10" t="s">
        <v>50</v>
      </c>
      <c r="B16" s="11" t="s">
        <v>51</v>
      </c>
      <c r="C16" s="12">
        <v>4</v>
      </c>
    </row>
    <row r="17" spans="1:3" x14ac:dyDescent="0.4">
      <c r="A17" s="10" t="s">
        <v>52</v>
      </c>
      <c r="B17" s="11" t="s">
        <v>53</v>
      </c>
      <c r="C17" s="12">
        <v>1</v>
      </c>
    </row>
    <row r="18" spans="1:3" x14ac:dyDescent="0.4">
      <c r="A18" s="10" t="s">
        <v>54</v>
      </c>
      <c r="B18" s="11" t="s">
        <v>55</v>
      </c>
      <c r="C18" s="12">
        <v>0.15</v>
      </c>
    </row>
    <row r="19" spans="1:3" x14ac:dyDescent="0.4">
      <c r="A19" s="10" t="s">
        <v>56</v>
      </c>
      <c r="B19" s="11" t="s">
        <v>57</v>
      </c>
      <c r="C19" s="12">
        <v>100</v>
      </c>
    </row>
    <row r="20" spans="1:3" x14ac:dyDescent="0.4">
      <c r="A20" s="10" t="s">
        <v>58</v>
      </c>
      <c r="B20" s="11" t="s">
        <v>59</v>
      </c>
      <c r="C20" s="12">
        <v>1.5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workbookViewId="0">
      <pane ySplit="16" topLeftCell="A17" activePane="bottomLeft" state="frozen"/>
      <selection pane="bottomLeft"/>
    </sheetView>
  </sheetViews>
  <sheetFormatPr defaultRowHeight="17.399999999999999" x14ac:dyDescent="0.4"/>
  <cols>
    <col min="1" max="4" width="9" customWidth="1"/>
    <col min="5" max="5" width="11" customWidth="1"/>
    <col min="6" max="8" width="10" customWidth="1"/>
    <col min="9" max="10" width="9" customWidth="1"/>
    <col min="11" max="12" width="7" customWidth="1"/>
  </cols>
  <sheetData>
    <row r="1" spans="1:12" ht="18" customHeight="1" x14ac:dyDescent="0.4">
      <c r="A1" s="1" t="s">
        <v>60</v>
      </c>
    </row>
    <row r="2" spans="1:12" x14ac:dyDescent="0.4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  <c r="L2" s="3" t="s">
        <v>72</v>
      </c>
    </row>
    <row r="3" spans="1:12" x14ac:dyDescent="0.4">
      <c r="A3" s="13" t="s">
        <v>73</v>
      </c>
      <c r="B3" s="14"/>
      <c r="C3" s="14"/>
      <c r="D3" s="14"/>
      <c r="E3" s="15">
        <v>3.21</v>
      </c>
      <c r="F3" s="14"/>
      <c r="G3" s="14"/>
      <c r="H3" s="14"/>
      <c r="I3" s="14"/>
      <c r="J3" s="14"/>
      <c r="K3" s="14"/>
      <c r="L3" s="14"/>
    </row>
    <row r="4" spans="1:12" x14ac:dyDescent="0.4">
      <c r="A4" s="13" t="s">
        <v>74</v>
      </c>
      <c r="B4" s="14"/>
      <c r="C4" s="14"/>
      <c r="D4" s="14"/>
      <c r="E4" s="15">
        <v>3.21</v>
      </c>
      <c r="F4" s="14"/>
      <c r="G4" s="14"/>
      <c r="H4" s="14"/>
      <c r="I4" s="14"/>
      <c r="J4" s="14"/>
      <c r="K4" s="14"/>
      <c r="L4" s="14"/>
    </row>
    <row r="5" spans="1:12" x14ac:dyDescent="0.4">
      <c r="A5" s="13" t="s">
        <v>75</v>
      </c>
      <c r="B5" s="14"/>
      <c r="C5" s="14"/>
      <c r="D5" s="14"/>
      <c r="E5" s="15">
        <v>3.21</v>
      </c>
      <c r="F5" s="14"/>
      <c r="G5" s="14"/>
      <c r="H5" s="14"/>
      <c r="I5" s="14"/>
      <c r="J5" s="14"/>
      <c r="K5" s="14"/>
      <c r="L5" s="14"/>
    </row>
    <row r="6" spans="1:12" x14ac:dyDescent="0.4">
      <c r="A6" s="13" t="s">
        <v>76</v>
      </c>
      <c r="B6" s="14"/>
      <c r="C6" s="14"/>
      <c r="D6" s="14"/>
      <c r="E6" s="15">
        <v>3.21</v>
      </c>
      <c r="F6" s="14"/>
      <c r="G6" s="14"/>
      <c r="H6" s="14"/>
      <c r="I6" s="14"/>
      <c r="J6" s="14"/>
      <c r="K6" s="14"/>
      <c r="L6" s="14"/>
    </row>
    <row r="7" spans="1:12" x14ac:dyDescent="0.4">
      <c r="A7" s="13" t="s">
        <v>77</v>
      </c>
      <c r="B7" s="14"/>
      <c r="C7" s="14"/>
      <c r="D7" s="14"/>
      <c r="E7" s="15">
        <v>3.21</v>
      </c>
      <c r="F7" s="14"/>
      <c r="G7" s="14"/>
      <c r="H7" s="14"/>
      <c r="I7" s="14"/>
      <c r="J7" s="14"/>
      <c r="K7" s="14"/>
      <c r="L7" s="14"/>
    </row>
    <row r="8" spans="1:12" x14ac:dyDescent="0.4">
      <c r="A8" s="13" t="s">
        <v>78</v>
      </c>
      <c r="B8" s="14"/>
      <c r="C8" s="14"/>
      <c r="D8" s="14"/>
      <c r="E8" s="15">
        <v>3.21</v>
      </c>
      <c r="F8" s="14"/>
      <c r="G8" s="14"/>
      <c r="H8" s="14"/>
      <c r="I8" s="14"/>
      <c r="J8" s="14"/>
      <c r="K8" s="14"/>
      <c r="L8" s="14"/>
    </row>
    <row r="9" spans="1:12" x14ac:dyDescent="0.4">
      <c r="A9" s="13" t="s">
        <v>79</v>
      </c>
      <c r="B9" s="14"/>
      <c r="C9" s="14"/>
      <c r="D9" s="14"/>
      <c r="E9" s="15">
        <v>3.21</v>
      </c>
      <c r="F9" s="14"/>
      <c r="G9" s="14"/>
      <c r="H9" s="14"/>
      <c r="I9" s="14"/>
      <c r="J9" s="14"/>
      <c r="K9" s="14"/>
      <c r="L9" s="14"/>
    </row>
    <row r="10" spans="1:12" x14ac:dyDescent="0.4">
      <c r="A10" s="13" t="s">
        <v>80</v>
      </c>
      <c r="B10" s="14"/>
      <c r="C10" s="14"/>
      <c r="D10" s="14"/>
      <c r="E10" s="15">
        <v>3.21</v>
      </c>
      <c r="F10" s="14"/>
      <c r="G10" s="14"/>
      <c r="H10" s="14"/>
      <c r="I10" s="14"/>
      <c r="J10" s="14"/>
      <c r="K10" s="14"/>
      <c r="L10" s="14"/>
    </row>
    <row r="11" spans="1:12" x14ac:dyDescent="0.4">
      <c r="A11" s="13" t="s">
        <v>81</v>
      </c>
      <c r="B11" s="14"/>
      <c r="C11" s="14"/>
      <c r="D11" s="14"/>
      <c r="E11" s="15">
        <v>3.21</v>
      </c>
      <c r="F11" s="14"/>
      <c r="G11" s="14"/>
      <c r="H11" s="14"/>
      <c r="I11" s="14"/>
      <c r="J11" s="14"/>
      <c r="K11" s="14"/>
      <c r="L11" s="14"/>
    </row>
    <row r="12" spans="1:12" x14ac:dyDescent="0.4">
      <c r="A12" s="13" t="s">
        <v>82</v>
      </c>
      <c r="B12" s="14"/>
      <c r="C12" s="14"/>
      <c r="D12" s="14"/>
      <c r="E12" s="15">
        <v>3.21</v>
      </c>
      <c r="F12" s="14"/>
      <c r="G12" s="14"/>
      <c r="H12" s="14"/>
      <c r="I12" s="14"/>
      <c r="J12" s="14"/>
      <c r="K12" s="14"/>
      <c r="L12" s="14"/>
    </row>
    <row r="13" spans="1:12" x14ac:dyDescent="0.4">
      <c r="A13" s="13" t="s">
        <v>83</v>
      </c>
      <c r="B13" s="14"/>
      <c r="C13" s="14"/>
      <c r="D13" s="14"/>
      <c r="E13" s="15">
        <v>3.21</v>
      </c>
      <c r="F13" s="14"/>
      <c r="G13" s="14"/>
      <c r="H13" s="14"/>
      <c r="I13" s="14"/>
      <c r="J13" s="14"/>
      <c r="K13" s="14"/>
      <c r="L13" s="14"/>
    </row>
    <row r="14" spans="1:12" x14ac:dyDescent="0.4">
      <c r="A14" s="13" t="s">
        <v>84</v>
      </c>
      <c r="B14" s="14"/>
      <c r="C14" s="14"/>
      <c r="D14" s="14"/>
      <c r="E14" s="15">
        <v>3.21</v>
      </c>
      <c r="F14" s="14"/>
      <c r="G14" s="14"/>
      <c r="H14" s="14"/>
      <c r="I14" s="14"/>
      <c r="J14" s="14"/>
      <c r="K14" s="14"/>
      <c r="L14" s="14"/>
    </row>
    <row r="15" spans="1:12" x14ac:dyDescent="0.4">
      <c r="A15" s="13" t="s">
        <v>85</v>
      </c>
      <c r="B15" s="14"/>
      <c r="C15" s="14"/>
      <c r="D15" s="14"/>
      <c r="E15" s="15">
        <v>3.21</v>
      </c>
      <c r="F15" s="14"/>
      <c r="G15" s="14"/>
      <c r="H15" s="14"/>
      <c r="I15" s="14"/>
      <c r="J15" s="14"/>
      <c r="K15" s="14"/>
      <c r="L15" s="14"/>
    </row>
    <row r="16" spans="1:12" x14ac:dyDescent="0.4">
      <c r="A16" s="13" t="s">
        <v>86</v>
      </c>
      <c r="B16" s="14"/>
      <c r="C16" s="14"/>
      <c r="D16" s="14"/>
      <c r="E16" s="15">
        <v>3.21</v>
      </c>
      <c r="F16" s="14"/>
      <c r="G16" s="14"/>
      <c r="H16" s="14"/>
      <c r="I16" s="14"/>
      <c r="J16" s="14"/>
      <c r="K16" s="14"/>
      <c r="L16" s="14"/>
    </row>
    <row r="17" spans="1:12" x14ac:dyDescent="0.4">
      <c r="A17" s="5">
        <v>1</v>
      </c>
      <c r="B17" s="16">
        <v>0</v>
      </c>
      <c r="C17" s="16">
        <v>0</v>
      </c>
      <c r="D17" s="16">
        <v>0</v>
      </c>
      <c r="E17" s="10">
        <f>B17*Params!$C$5+C17*Params!$C$6+D17*Params!$C$7</f>
        <v>0</v>
      </c>
      <c r="F17" s="10">
        <f t="shared" ref="F17:F44" si="0">AVERAGE(E3:E16)</f>
        <v>3.2100000000000004</v>
      </c>
      <c r="G17" s="10">
        <f>IF(F17&lt;=0,Params!$C$9,MIN(Params!$C$9,MAX(Params!$C$8,E17/F17)))</f>
        <v>0.8</v>
      </c>
      <c r="H17" s="10">
        <f>Params!$C$12</f>
        <v>0.85</v>
      </c>
      <c r="I17" s="10">
        <f t="shared" ref="I17:I44" si="1">E17*G17*H17</f>
        <v>0</v>
      </c>
      <c r="J17" s="10">
        <f>MIN(Params!$C$15,IF(I17&lt;=Params!$C$13,I17,Params!$C$13+(I17-Params!$C$13)*Params!$C$14))</f>
        <v>0</v>
      </c>
      <c r="K17" s="17">
        <f t="shared" ref="K17:K44" si="2">IF(E17&gt;0,1,0)</f>
        <v>0</v>
      </c>
      <c r="L17" s="17">
        <f>ROUNDUP(1/7,0)</f>
        <v>1</v>
      </c>
    </row>
    <row r="18" spans="1:12" x14ac:dyDescent="0.4">
      <c r="A18" s="5">
        <v>2</v>
      </c>
      <c r="B18" s="16">
        <v>12</v>
      </c>
      <c r="C18" s="16">
        <v>0</v>
      </c>
      <c r="D18" s="16">
        <v>0</v>
      </c>
      <c r="E18" s="10">
        <f>B18*Params!$C$5+C18*Params!$C$6+D18*Params!$C$7</f>
        <v>12</v>
      </c>
      <c r="F18" s="10">
        <f t="shared" si="0"/>
        <v>2.9807142857142859</v>
      </c>
      <c r="G18" s="10">
        <f>IF(F18&lt;=0,Params!$C$9,MIN(Params!$C$9,MAX(Params!$C$8,E18/F18)))</f>
        <v>1.5</v>
      </c>
      <c r="H18" s="10">
        <f>Params!$C$12</f>
        <v>0.85</v>
      </c>
      <c r="I18" s="10">
        <f t="shared" si="1"/>
        <v>15.299999999999999</v>
      </c>
      <c r="J18" s="10">
        <f>MIN(Params!$C$15,IF(I18&lt;=Params!$C$13,I18,Params!$C$13+(I18-Params!$C$13)*Params!$C$14))</f>
        <v>15.299999999999999</v>
      </c>
      <c r="K18" s="17">
        <f t="shared" si="2"/>
        <v>1</v>
      </c>
      <c r="L18" s="17">
        <f>ROUNDUP(2/7,0)</f>
        <v>1</v>
      </c>
    </row>
    <row r="19" spans="1:12" x14ac:dyDescent="0.4">
      <c r="A19" s="5">
        <v>3</v>
      </c>
      <c r="B19" s="16">
        <v>0</v>
      </c>
      <c r="C19" s="16">
        <v>0</v>
      </c>
      <c r="D19" s="16">
        <v>0</v>
      </c>
      <c r="E19" s="10">
        <f>B19*Params!$C$5+C19*Params!$C$6+D19*Params!$C$7</f>
        <v>0</v>
      </c>
      <c r="F19" s="10">
        <f t="shared" si="0"/>
        <v>3.608571428571429</v>
      </c>
      <c r="G19" s="10">
        <f>IF(F19&lt;=0,Params!$C$9,MIN(Params!$C$9,MAX(Params!$C$8,E19/F19)))</f>
        <v>0.8</v>
      </c>
      <c r="H19" s="10">
        <f>Params!$C$12</f>
        <v>0.85</v>
      </c>
      <c r="I19" s="10">
        <f t="shared" si="1"/>
        <v>0</v>
      </c>
      <c r="J19" s="10">
        <f>MIN(Params!$C$15,IF(I19&lt;=Params!$C$13,I19,Params!$C$13+(I19-Params!$C$13)*Params!$C$14))</f>
        <v>0</v>
      </c>
      <c r="K19" s="17">
        <f t="shared" si="2"/>
        <v>0</v>
      </c>
      <c r="L19" s="17">
        <f>ROUNDUP(3/7,0)</f>
        <v>1</v>
      </c>
    </row>
    <row r="20" spans="1:12" x14ac:dyDescent="0.4">
      <c r="A20" s="5">
        <v>4</v>
      </c>
      <c r="B20" s="16">
        <v>0</v>
      </c>
      <c r="C20" s="16">
        <v>0</v>
      </c>
      <c r="D20" s="16">
        <v>0</v>
      </c>
      <c r="E20" s="10">
        <f>B20*Params!$C$5+C20*Params!$C$6+D20*Params!$C$7</f>
        <v>0</v>
      </c>
      <c r="F20" s="10">
        <f t="shared" si="0"/>
        <v>3.3792857142857144</v>
      </c>
      <c r="G20" s="10">
        <f>IF(F20&lt;=0,Params!$C$9,MIN(Params!$C$9,MAX(Params!$C$8,E20/F20)))</f>
        <v>0.8</v>
      </c>
      <c r="H20" s="10">
        <f>Params!$C$12</f>
        <v>0.85</v>
      </c>
      <c r="I20" s="10">
        <f t="shared" si="1"/>
        <v>0</v>
      </c>
      <c r="J20" s="10">
        <f>MIN(Params!$C$15,IF(I20&lt;=Params!$C$13,I20,Params!$C$13+(I20-Params!$C$13)*Params!$C$14))</f>
        <v>0</v>
      </c>
      <c r="K20" s="17">
        <f t="shared" si="2"/>
        <v>0</v>
      </c>
      <c r="L20" s="17">
        <f>ROUNDUP(4/7,0)</f>
        <v>1</v>
      </c>
    </row>
    <row r="21" spans="1:12" x14ac:dyDescent="0.4">
      <c r="A21" s="5">
        <v>5</v>
      </c>
      <c r="B21" s="16">
        <v>10</v>
      </c>
      <c r="C21" s="16">
        <v>0</v>
      </c>
      <c r="D21" s="16">
        <v>0</v>
      </c>
      <c r="E21" s="10">
        <f>B21*Params!$C$5+C21*Params!$C$6+D21*Params!$C$7</f>
        <v>10</v>
      </c>
      <c r="F21" s="10">
        <f t="shared" si="0"/>
        <v>3.15</v>
      </c>
      <c r="G21" s="10">
        <f>IF(F21&lt;=0,Params!$C$9,MIN(Params!$C$9,MAX(Params!$C$8,E21/F21)))</f>
        <v>1.5</v>
      </c>
      <c r="H21" s="10">
        <f>Params!$C$12</f>
        <v>0.85</v>
      </c>
      <c r="I21" s="10">
        <f t="shared" si="1"/>
        <v>12.75</v>
      </c>
      <c r="J21" s="10">
        <f>MIN(Params!$C$15,IF(I21&lt;=Params!$C$13,I21,Params!$C$13+(I21-Params!$C$13)*Params!$C$14))</f>
        <v>12.75</v>
      </c>
      <c r="K21" s="17">
        <f t="shared" si="2"/>
        <v>1</v>
      </c>
      <c r="L21" s="17">
        <f>ROUNDUP(5/7,0)</f>
        <v>1</v>
      </c>
    </row>
    <row r="22" spans="1:12" x14ac:dyDescent="0.4">
      <c r="A22" s="5">
        <v>6</v>
      </c>
      <c r="B22" s="16">
        <v>0</v>
      </c>
      <c r="C22" s="16">
        <v>0</v>
      </c>
      <c r="D22" s="16">
        <v>0</v>
      </c>
      <c r="E22" s="10">
        <f>B22*Params!$C$5+C22*Params!$C$6+D22*Params!$C$7</f>
        <v>0</v>
      </c>
      <c r="F22" s="10">
        <f t="shared" si="0"/>
        <v>3.6350000000000002</v>
      </c>
      <c r="G22" s="10">
        <f>IF(F22&lt;=0,Params!$C$9,MIN(Params!$C$9,MAX(Params!$C$8,E22/F22)))</f>
        <v>0.8</v>
      </c>
      <c r="H22" s="10">
        <f>Params!$C$12</f>
        <v>0.85</v>
      </c>
      <c r="I22" s="10">
        <f t="shared" si="1"/>
        <v>0</v>
      </c>
      <c r="J22" s="10">
        <f>MIN(Params!$C$15,IF(I22&lt;=Params!$C$13,I22,Params!$C$13+(I22-Params!$C$13)*Params!$C$14))</f>
        <v>0</v>
      </c>
      <c r="K22" s="17">
        <f t="shared" si="2"/>
        <v>0</v>
      </c>
      <c r="L22" s="17">
        <f>ROUNDUP(6/7,0)</f>
        <v>1</v>
      </c>
    </row>
    <row r="23" spans="1:12" x14ac:dyDescent="0.4">
      <c r="A23" s="5">
        <v>7</v>
      </c>
      <c r="B23" s="16">
        <v>0</v>
      </c>
      <c r="C23" s="16">
        <v>0</v>
      </c>
      <c r="D23" s="16">
        <v>0</v>
      </c>
      <c r="E23" s="10">
        <f>B23*Params!$C$5+C23*Params!$C$6+D23*Params!$C$7</f>
        <v>0</v>
      </c>
      <c r="F23" s="10">
        <f t="shared" si="0"/>
        <v>3.4057142857142861</v>
      </c>
      <c r="G23" s="10">
        <f>IF(F23&lt;=0,Params!$C$9,MIN(Params!$C$9,MAX(Params!$C$8,E23/F23)))</f>
        <v>0.8</v>
      </c>
      <c r="H23" s="10">
        <f>Params!$C$12</f>
        <v>0.85</v>
      </c>
      <c r="I23" s="10">
        <f t="shared" si="1"/>
        <v>0</v>
      </c>
      <c r="J23" s="10">
        <f>MIN(Params!$C$15,IF(I23&lt;=Params!$C$13,I23,Params!$C$13+(I23-Params!$C$13)*Params!$C$14))</f>
        <v>0</v>
      </c>
      <c r="K23" s="17">
        <f t="shared" si="2"/>
        <v>0</v>
      </c>
      <c r="L23" s="17">
        <f>ROUNDUP(7/7,0)</f>
        <v>1</v>
      </c>
    </row>
    <row r="24" spans="1:12" x14ac:dyDescent="0.4">
      <c r="A24" s="5">
        <v>8</v>
      </c>
      <c r="B24" s="16">
        <v>0</v>
      </c>
      <c r="C24" s="16">
        <v>0</v>
      </c>
      <c r="D24" s="16">
        <v>0</v>
      </c>
      <c r="E24" s="10">
        <f>B24*Params!$C$5+C24*Params!$C$6+D24*Params!$C$7</f>
        <v>0</v>
      </c>
      <c r="F24" s="10">
        <f t="shared" si="0"/>
        <v>3.1764285714285712</v>
      </c>
      <c r="G24" s="10">
        <f>IF(F24&lt;=0,Params!$C$9,MIN(Params!$C$9,MAX(Params!$C$8,E24/F24)))</f>
        <v>0.8</v>
      </c>
      <c r="H24" s="10">
        <f>Params!$C$12</f>
        <v>0.85</v>
      </c>
      <c r="I24" s="10">
        <f t="shared" si="1"/>
        <v>0</v>
      </c>
      <c r="J24" s="10">
        <f>MIN(Params!$C$15,IF(I24&lt;=Params!$C$13,I24,Params!$C$13+(I24-Params!$C$13)*Params!$C$14))</f>
        <v>0</v>
      </c>
      <c r="K24" s="17">
        <f t="shared" si="2"/>
        <v>0</v>
      </c>
      <c r="L24" s="17">
        <f>ROUNDUP(8/7,0)</f>
        <v>2</v>
      </c>
    </row>
    <row r="25" spans="1:12" x14ac:dyDescent="0.4">
      <c r="A25" s="5">
        <v>9</v>
      </c>
      <c r="B25" s="16">
        <v>10</v>
      </c>
      <c r="C25" s="16">
        <v>0</v>
      </c>
      <c r="D25" s="16">
        <v>0</v>
      </c>
      <c r="E25" s="10">
        <f>B25*Params!$C$5+C25*Params!$C$6+D25*Params!$C$7</f>
        <v>10</v>
      </c>
      <c r="F25" s="10">
        <f t="shared" si="0"/>
        <v>2.9471428571428575</v>
      </c>
      <c r="G25" s="10">
        <f>IF(F25&lt;=0,Params!$C$9,MIN(Params!$C$9,MAX(Params!$C$8,E25/F25)))</f>
        <v>1.5</v>
      </c>
      <c r="H25" s="10">
        <f>Params!$C$12</f>
        <v>0.85</v>
      </c>
      <c r="I25" s="10">
        <f t="shared" si="1"/>
        <v>12.75</v>
      </c>
      <c r="J25" s="10">
        <f>MIN(Params!$C$15,IF(I25&lt;=Params!$C$13,I25,Params!$C$13+(I25-Params!$C$13)*Params!$C$14))</f>
        <v>12.75</v>
      </c>
      <c r="K25" s="17">
        <f t="shared" si="2"/>
        <v>1</v>
      </c>
      <c r="L25" s="17">
        <f>ROUNDUP(9/7,0)</f>
        <v>2</v>
      </c>
    </row>
    <row r="26" spans="1:12" x14ac:dyDescent="0.4">
      <c r="A26" s="5">
        <v>10</v>
      </c>
      <c r="B26" s="16">
        <v>0</v>
      </c>
      <c r="C26" s="16">
        <v>0</v>
      </c>
      <c r="D26" s="16">
        <v>0</v>
      </c>
      <c r="E26" s="10">
        <f>B26*Params!$C$5+C26*Params!$C$6+D26*Params!$C$7</f>
        <v>0</v>
      </c>
      <c r="F26" s="10">
        <f t="shared" si="0"/>
        <v>3.4321428571428569</v>
      </c>
      <c r="G26" s="10">
        <f>IF(F26&lt;=0,Params!$C$9,MIN(Params!$C$9,MAX(Params!$C$8,E26/F26)))</f>
        <v>0.8</v>
      </c>
      <c r="H26" s="10">
        <f>Params!$C$12</f>
        <v>0.85</v>
      </c>
      <c r="I26" s="10">
        <f t="shared" si="1"/>
        <v>0</v>
      </c>
      <c r="J26" s="10">
        <f>MIN(Params!$C$15,IF(I26&lt;=Params!$C$13,I26,Params!$C$13+(I26-Params!$C$13)*Params!$C$14))</f>
        <v>0</v>
      </c>
      <c r="K26" s="17">
        <f t="shared" si="2"/>
        <v>0</v>
      </c>
      <c r="L26" s="17">
        <f>ROUNDUP(10/7,0)</f>
        <v>2</v>
      </c>
    </row>
    <row r="27" spans="1:12" x14ac:dyDescent="0.4">
      <c r="A27" s="5">
        <v>11</v>
      </c>
      <c r="B27" s="16">
        <v>0</v>
      </c>
      <c r="C27" s="16">
        <v>0</v>
      </c>
      <c r="D27" s="16">
        <v>0</v>
      </c>
      <c r="E27" s="10">
        <f>B27*Params!$C$5+C27*Params!$C$6+D27*Params!$C$7</f>
        <v>0</v>
      </c>
      <c r="F27" s="10">
        <f t="shared" si="0"/>
        <v>3.2028571428571433</v>
      </c>
      <c r="G27" s="10">
        <f>IF(F27&lt;=0,Params!$C$9,MIN(Params!$C$9,MAX(Params!$C$8,E27/F27)))</f>
        <v>0.8</v>
      </c>
      <c r="H27" s="10">
        <f>Params!$C$12</f>
        <v>0.85</v>
      </c>
      <c r="I27" s="10">
        <f t="shared" si="1"/>
        <v>0</v>
      </c>
      <c r="J27" s="10">
        <f>MIN(Params!$C$15,IF(I27&lt;=Params!$C$13,I27,Params!$C$13+(I27-Params!$C$13)*Params!$C$14))</f>
        <v>0</v>
      </c>
      <c r="K27" s="17">
        <f t="shared" si="2"/>
        <v>0</v>
      </c>
      <c r="L27" s="17">
        <f>ROUNDUP(11/7,0)</f>
        <v>2</v>
      </c>
    </row>
    <row r="28" spans="1:12" x14ac:dyDescent="0.4">
      <c r="A28" s="5">
        <v>12</v>
      </c>
      <c r="B28" s="16">
        <v>0</v>
      </c>
      <c r="C28" s="16">
        <v>0</v>
      </c>
      <c r="D28" s="16">
        <v>0</v>
      </c>
      <c r="E28" s="10">
        <f>B28*Params!$C$5+C28*Params!$C$6+D28*Params!$C$7</f>
        <v>0</v>
      </c>
      <c r="F28" s="10">
        <f t="shared" si="0"/>
        <v>2.9735714285714283</v>
      </c>
      <c r="G28" s="10">
        <f>IF(F28&lt;=0,Params!$C$9,MIN(Params!$C$9,MAX(Params!$C$8,E28/F28)))</f>
        <v>0.8</v>
      </c>
      <c r="H28" s="10">
        <f>Params!$C$12</f>
        <v>0.85</v>
      </c>
      <c r="I28" s="10">
        <f t="shared" si="1"/>
        <v>0</v>
      </c>
      <c r="J28" s="10">
        <f>MIN(Params!$C$15,IF(I28&lt;=Params!$C$13,I28,Params!$C$13+(I28-Params!$C$13)*Params!$C$14))</f>
        <v>0</v>
      </c>
      <c r="K28" s="17">
        <f t="shared" si="2"/>
        <v>0</v>
      </c>
      <c r="L28" s="17">
        <f>ROUNDUP(12/7,0)</f>
        <v>2</v>
      </c>
    </row>
    <row r="29" spans="1:12" x14ac:dyDescent="0.4">
      <c r="A29" s="5">
        <v>13</v>
      </c>
      <c r="B29" s="16">
        <v>15</v>
      </c>
      <c r="C29" s="16">
        <v>0</v>
      </c>
      <c r="D29" s="16">
        <v>0</v>
      </c>
      <c r="E29" s="10">
        <f>B29*Params!$C$5+C29*Params!$C$6+D29*Params!$C$7</f>
        <v>15</v>
      </c>
      <c r="F29" s="10">
        <f t="shared" si="0"/>
        <v>2.7442857142857142</v>
      </c>
      <c r="G29" s="10">
        <f>IF(F29&lt;=0,Params!$C$9,MIN(Params!$C$9,MAX(Params!$C$8,E29/F29)))</f>
        <v>1.5</v>
      </c>
      <c r="H29" s="10">
        <f>Params!$C$12</f>
        <v>0.85</v>
      </c>
      <c r="I29" s="10">
        <f t="shared" si="1"/>
        <v>19.125</v>
      </c>
      <c r="J29" s="10">
        <f>MIN(Params!$C$15,IF(I29&lt;=Params!$C$13,I29,Params!$C$13+(I29-Params!$C$13)*Params!$C$14))</f>
        <v>19.125</v>
      </c>
      <c r="K29" s="17">
        <f t="shared" si="2"/>
        <v>1</v>
      </c>
      <c r="L29" s="17">
        <f>ROUNDUP(13/7,0)</f>
        <v>2</v>
      </c>
    </row>
    <row r="30" spans="1:12" x14ac:dyDescent="0.4">
      <c r="A30" s="5">
        <v>14</v>
      </c>
      <c r="B30" s="16">
        <v>0</v>
      </c>
      <c r="C30" s="16">
        <v>0</v>
      </c>
      <c r="D30" s="16">
        <v>0</v>
      </c>
      <c r="E30" s="10">
        <f>B30*Params!$C$5+C30*Params!$C$6+D30*Params!$C$7</f>
        <v>0</v>
      </c>
      <c r="F30" s="10">
        <f t="shared" si="0"/>
        <v>3.5864285714285713</v>
      </c>
      <c r="G30" s="10">
        <f>IF(F30&lt;=0,Params!$C$9,MIN(Params!$C$9,MAX(Params!$C$8,E30/F30)))</f>
        <v>0.8</v>
      </c>
      <c r="H30" s="10">
        <f>Params!$C$12</f>
        <v>0.85</v>
      </c>
      <c r="I30" s="10">
        <f t="shared" si="1"/>
        <v>0</v>
      </c>
      <c r="J30" s="10">
        <f>MIN(Params!$C$15,IF(I30&lt;=Params!$C$13,I30,Params!$C$13+(I30-Params!$C$13)*Params!$C$14))</f>
        <v>0</v>
      </c>
      <c r="K30" s="17">
        <f t="shared" si="2"/>
        <v>0</v>
      </c>
      <c r="L30" s="17">
        <f>ROUNDUP(14/7,0)</f>
        <v>2</v>
      </c>
    </row>
    <row r="31" spans="1:12" x14ac:dyDescent="0.4">
      <c r="A31" s="5">
        <v>15</v>
      </c>
      <c r="B31" s="16">
        <v>0</v>
      </c>
      <c r="C31" s="16">
        <v>0</v>
      </c>
      <c r="D31" s="16">
        <v>0</v>
      </c>
      <c r="E31" s="10">
        <f>B31*Params!$C$5+C31*Params!$C$6+D31*Params!$C$7</f>
        <v>0</v>
      </c>
      <c r="F31" s="10">
        <f t="shared" si="0"/>
        <v>3.3571428571428572</v>
      </c>
      <c r="G31" s="10">
        <f>IF(F31&lt;=0,Params!$C$9,MIN(Params!$C$9,MAX(Params!$C$8,E31/F31)))</f>
        <v>0.8</v>
      </c>
      <c r="H31" s="10">
        <f>Params!$C$12</f>
        <v>0.85</v>
      </c>
      <c r="I31" s="10">
        <f t="shared" si="1"/>
        <v>0</v>
      </c>
      <c r="J31" s="10">
        <f>MIN(Params!$C$15,IF(I31&lt;=Params!$C$13,I31,Params!$C$13+(I31-Params!$C$13)*Params!$C$14))</f>
        <v>0</v>
      </c>
      <c r="K31" s="17">
        <f t="shared" si="2"/>
        <v>0</v>
      </c>
      <c r="L31" s="17">
        <f>ROUNDUP(15/7,0)</f>
        <v>3</v>
      </c>
    </row>
    <row r="32" spans="1:12" x14ac:dyDescent="0.4">
      <c r="A32" s="5">
        <v>16</v>
      </c>
      <c r="B32" s="16">
        <v>0</v>
      </c>
      <c r="C32" s="16">
        <v>0</v>
      </c>
      <c r="D32" s="16">
        <v>0</v>
      </c>
      <c r="E32" s="10">
        <f>B32*Params!$C$5+C32*Params!$C$6+D32*Params!$C$7</f>
        <v>0</v>
      </c>
      <c r="F32" s="10">
        <f t="shared" si="0"/>
        <v>3.3571428571428572</v>
      </c>
      <c r="G32" s="10">
        <f>IF(F32&lt;=0,Params!$C$9,MIN(Params!$C$9,MAX(Params!$C$8,E32/F32)))</f>
        <v>0.8</v>
      </c>
      <c r="H32" s="10">
        <f>Params!$C$12</f>
        <v>0.85</v>
      </c>
      <c r="I32" s="10">
        <f t="shared" si="1"/>
        <v>0</v>
      </c>
      <c r="J32" s="10">
        <f>MIN(Params!$C$15,IF(I32&lt;=Params!$C$13,I32,Params!$C$13+(I32-Params!$C$13)*Params!$C$14))</f>
        <v>0</v>
      </c>
      <c r="K32" s="17">
        <f t="shared" si="2"/>
        <v>0</v>
      </c>
      <c r="L32" s="17">
        <f>ROUNDUP(16/7,0)</f>
        <v>3</v>
      </c>
    </row>
    <row r="33" spans="1:12" x14ac:dyDescent="0.4">
      <c r="A33" s="5">
        <v>17</v>
      </c>
      <c r="B33" s="16">
        <v>13</v>
      </c>
      <c r="C33" s="16">
        <v>0</v>
      </c>
      <c r="D33" s="16">
        <v>0</v>
      </c>
      <c r="E33" s="10">
        <f>B33*Params!$C$5+C33*Params!$C$6+D33*Params!$C$7</f>
        <v>13</v>
      </c>
      <c r="F33" s="10">
        <f t="shared" si="0"/>
        <v>2.5</v>
      </c>
      <c r="G33" s="10">
        <f>IF(F33&lt;=0,Params!$C$9,MIN(Params!$C$9,MAX(Params!$C$8,E33/F33)))</f>
        <v>1.5</v>
      </c>
      <c r="H33" s="10">
        <f>Params!$C$12</f>
        <v>0.85</v>
      </c>
      <c r="I33" s="10">
        <f t="shared" si="1"/>
        <v>16.574999999999999</v>
      </c>
      <c r="J33" s="10">
        <f>MIN(Params!$C$15,IF(I33&lt;=Params!$C$13,I33,Params!$C$13+(I33-Params!$C$13)*Params!$C$14))</f>
        <v>16.574999999999999</v>
      </c>
      <c r="K33" s="17">
        <f t="shared" si="2"/>
        <v>1</v>
      </c>
      <c r="L33" s="17">
        <f>ROUNDUP(17/7,0)</f>
        <v>3</v>
      </c>
    </row>
    <row r="34" spans="1:12" x14ac:dyDescent="0.4">
      <c r="A34" s="5">
        <v>18</v>
      </c>
      <c r="B34" s="16">
        <v>0</v>
      </c>
      <c r="C34" s="16">
        <v>0</v>
      </c>
      <c r="D34" s="16">
        <v>0</v>
      </c>
      <c r="E34" s="10">
        <f>B34*Params!$C$5+C34*Params!$C$6+D34*Params!$C$7</f>
        <v>0</v>
      </c>
      <c r="F34" s="10">
        <f t="shared" si="0"/>
        <v>3.4285714285714284</v>
      </c>
      <c r="G34" s="10">
        <f>IF(F34&lt;=0,Params!$C$9,MIN(Params!$C$9,MAX(Params!$C$8,E34/F34)))</f>
        <v>0.8</v>
      </c>
      <c r="H34" s="10">
        <f>Params!$C$12</f>
        <v>0.85</v>
      </c>
      <c r="I34" s="10">
        <f t="shared" si="1"/>
        <v>0</v>
      </c>
      <c r="J34" s="10">
        <f>MIN(Params!$C$15,IF(I34&lt;=Params!$C$13,I34,Params!$C$13+(I34-Params!$C$13)*Params!$C$14))</f>
        <v>0</v>
      </c>
      <c r="K34" s="17">
        <f t="shared" si="2"/>
        <v>0</v>
      </c>
      <c r="L34" s="17">
        <f>ROUNDUP(18/7,0)</f>
        <v>3</v>
      </c>
    </row>
    <row r="35" spans="1:12" x14ac:dyDescent="0.4">
      <c r="A35" s="5">
        <v>19</v>
      </c>
      <c r="B35" s="16">
        <v>10</v>
      </c>
      <c r="C35" s="16">
        <v>0</v>
      </c>
      <c r="D35" s="16">
        <v>0</v>
      </c>
      <c r="E35" s="10">
        <f>B35*Params!$C$5+C35*Params!$C$6+D35*Params!$C$7</f>
        <v>10</v>
      </c>
      <c r="F35" s="10">
        <f t="shared" si="0"/>
        <v>3.4285714285714284</v>
      </c>
      <c r="G35" s="10">
        <f>IF(F35&lt;=0,Params!$C$9,MIN(Params!$C$9,MAX(Params!$C$8,E35/F35)))</f>
        <v>1.5</v>
      </c>
      <c r="H35" s="10">
        <f>Params!$C$12</f>
        <v>0.85</v>
      </c>
      <c r="I35" s="10">
        <f t="shared" si="1"/>
        <v>12.75</v>
      </c>
      <c r="J35" s="10">
        <f>MIN(Params!$C$15,IF(I35&lt;=Params!$C$13,I35,Params!$C$13+(I35-Params!$C$13)*Params!$C$14))</f>
        <v>12.75</v>
      </c>
      <c r="K35" s="17">
        <f t="shared" si="2"/>
        <v>1</v>
      </c>
      <c r="L35" s="17">
        <f>ROUNDUP(19/7,0)</f>
        <v>3</v>
      </c>
    </row>
    <row r="36" spans="1:12" x14ac:dyDescent="0.4">
      <c r="A36" s="5">
        <v>20</v>
      </c>
      <c r="B36" s="16">
        <v>0</v>
      </c>
      <c r="C36" s="16">
        <v>0</v>
      </c>
      <c r="D36" s="16">
        <v>0</v>
      </c>
      <c r="E36" s="10">
        <f>B36*Params!$C$5+C36*Params!$C$6+D36*Params!$C$7</f>
        <v>0</v>
      </c>
      <c r="F36" s="10">
        <f t="shared" si="0"/>
        <v>3.4285714285714284</v>
      </c>
      <c r="G36" s="10">
        <f>IF(F36&lt;=0,Params!$C$9,MIN(Params!$C$9,MAX(Params!$C$8,E36/F36)))</f>
        <v>0.8</v>
      </c>
      <c r="H36" s="10">
        <f>Params!$C$12</f>
        <v>0.85</v>
      </c>
      <c r="I36" s="10">
        <f t="shared" si="1"/>
        <v>0</v>
      </c>
      <c r="J36" s="10">
        <f>MIN(Params!$C$15,IF(I36&lt;=Params!$C$13,I36,Params!$C$13+(I36-Params!$C$13)*Params!$C$14))</f>
        <v>0</v>
      </c>
      <c r="K36" s="17">
        <f t="shared" si="2"/>
        <v>0</v>
      </c>
      <c r="L36" s="17">
        <f>ROUNDUP(20/7,0)</f>
        <v>3</v>
      </c>
    </row>
    <row r="37" spans="1:12" x14ac:dyDescent="0.4">
      <c r="A37" s="5">
        <v>21</v>
      </c>
      <c r="B37" s="16">
        <v>0</v>
      </c>
      <c r="C37" s="16">
        <v>0</v>
      </c>
      <c r="D37" s="16">
        <v>0</v>
      </c>
      <c r="E37" s="10">
        <f>B37*Params!$C$5+C37*Params!$C$6+D37*Params!$C$7</f>
        <v>0</v>
      </c>
      <c r="F37" s="10">
        <f t="shared" si="0"/>
        <v>3.4285714285714284</v>
      </c>
      <c r="G37" s="10">
        <f>IF(F37&lt;=0,Params!$C$9,MIN(Params!$C$9,MAX(Params!$C$8,E37/F37)))</f>
        <v>0.8</v>
      </c>
      <c r="H37" s="10">
        <f>Params!$C$12</f>
        <v>0.85</v>
      </c>
      <c r="I37" s="10">
        <f t="shared" si="1"/>
        <v>0</v>
      </c>
      <c r="J37" s="10">
        <f>MIN(Params!$C$15,IF(I37&lt;=Params!$C$13,I37,Params!$C$13+(I37-Params!$C$13)*Params!$C$14))</f>
        <v>0</v>
      </c>
      <c r="K37" s="17">
        <f t="shared" si="2"/>
        <v>0</v>
      </c>
      <c r="L37" s="17">
        <f>ROUNDUP(21/7,0)</f>
        <v>3</v>
      </c>
    </row>
    <row r="38" spans="1:12" x14ac:dyDescent="0.4">
      <c r="A38" s="5">
        <v>22</v>
      </c>
      <c r="B38" s="16">
        <v>0</v>
      </c>
      <c r="C38" s="16">
        <v>0</v>
      </c>
      <c r="D38" s="16">
        <v>0</v>
      </c>
      <c r="E38" s="10">
        <f>B38*Params!$C$5+C38*Params!$C$6+D38*Params!$C$7</f>
        <v>0</v>
      </c>
      <c r="F38" s="10">
        <f t="shared" si="0"/>
        <v>3.4285714285714284</v>
      </c>
      <c r="G38" s="10">
        <f>IF(F38&lt;=0,Params!$C$9,MIN(Params!$C$9,MAX(Params!$C$8,E38/F38)))</f>
        <v>0.8</v>
      </c>
      <c r="H38" s="10">
        <f>Params!$C$12</f>
        <v>0.85</v>
      </c>
      <c r="I38" s="10">
        <f t="shared" si="1"/>
        <v>0</v>
      </c>
      <c r="J38" s="10">
        <f>MIN(Params!$C$15,IF(I38&lt;=Params!$C$13,I38,Params!$C$13+(I38-Params!$C$13)*Params!$C$14))</f>
        <v>0</v>
      </c>
      <c r="K38" s="17">
        <f t="shared" si="2"/>
        <v>0</v>
      </c>
      <c r="L38" s="17">
        <f>ROUNDUP(22/7,0)</f>
        <v>4</v>
      </c>
    </row>
    <row r="39" spans="1:12" x14ac:dyDescent="0.4">
      <c r="A39" s="5">
        <v>23</v>
      </c>
      <c r="B39" s="16">
        <v>12</v>
      </c>
      <c r="C39" s="16">
        <v>0</v>
      </c>
      <c r="D39" s="16">
        <v>0</v>
      </c>
      <c r="E39" s="10">
        <f>B39*Params!$C$5+C39*Params!$C$6+D39*Params!$C$7</f>
        <v>12</v>
      </c>
      <c r="F39" s="10">
        <f t="shared" si="0"/>
        <v>3.4285714285714284</v>
      </c>
      <c r="G39" s="10">
        <f>IF(F39&lt;=0,Params!$C$9,MIN(Params!$C$9,MAX(Params!$C$8,E39/F39)))</f>
        <v>1.5</v>
      </c>
      <c r="H39" s="10">
        <f>Params!$C$12</f>
        <v>0.85</v>
      </c>
      <c r="I39" s="10">
        <f t="shared" si="1"/>
        <v>15.299999999999999</v>
      </c>
      <c r="J39" s="10">
        <f>MIN(Params!$C$15,IF(I39&lt;=Params!$C$13,I39,Params!$C$13+(I39-Params!$C$13)*Params!$C$14))</f>
        <v>15.299999999999999</v>
      </c>
      <c r="K39" s="17">
        <f t="shared" si="2"/>
        <v>1</v>
      </c>
      <c r="L39" s="17">
        <f>ROUNDUP(23/7,0)</f>
        <v>4</v>
      </c>
    </row>
    <row r="40" spans="1:12" x14ac:dyDescent="0.4">
      <c r="A40" s="5">
        <v>24</v>
      </c>
      <c r="B40" s="16">
        <v>0</v>
      </c>
      <c r="C40" s="16">
        <v>0</v>
      </c>
      <c r="D40" s="16">
        <v>0</v>
      </c>
      <c r="E40" s="10">
        <f>B40*Params!$C$5+C40*Params!$C$6+D40*Params!$C$7</f>
        <v>0</v>
      </c>
      <c r="F40" s="10">
        <f t="shared" si="0"/>
        <v>3.5714285714285716</v>
      </c>
      <c r="G40" s="10">
        <f>IF(F40&lt;=0,Params!$C$9,MIN(Params!$C$9,MAX(Params!$C$8,E40/F40)))</f>
        <v>0.8</v>
      </c>
      <c r="H40" s="10">
        <f>Params!$C$12</f>
        <v>0.85</v>
      </c>
      <c r="I40" s="10">
        <f t="shared" si="1"/>
        <v>0</v>
      </c>
      <c r="J40" s="10">
        <f>MIN(Params!$C$15,IF(I40&lt;=Params!$C$13,I40,Params!$C$13+(I40-Params!$C$13)*Params!$C$14))</f>
        <v>0</v>
      </c>
      <c r="K40" s="17">
        <f t="shared" si="2"/>
        <v>0</v>
      </c>
      <c r="L40" s="17">
        <f>ROUNDUP(24/7,0)</f>
        <v>4</v>
      </c>
    </row>
    <row r="41" spans="1:12" x14ac:dyDescent="0.4">
      <c r="A41" s="5">
        <v>25</v>
      </c>
      <c r="B41" s="16">
        <v>0</v>
      </c>
      <c r="C41" s="16">
        <v>0</v>
      </c>
      <c r="D41" s="16">
        <v>0</v>
      </c>
      <c r="E41" s="10">
        <f>B41*Params!$C$5+C41*Params!$C$6+D41*Params!$C$7</f>
        <v>0</v>
      </c>
      <c r="F41" s="10">
        <f t="shared" si="0"/>
        <v>3.5714285714285716</v>
      </c>
      <c r="G41" s="10">
        <f>IF(F41&lt;=0,Params!$C$9,MIN(Params!$C$9,MAX(Params!$C$8,E41/F41)))</f>
        <v>0.8</v>
      </c>
      <c r="H41" s="10">
        <f>Params!$C$12</f>
        <v>0.85</v>
      </c>
      <c r="I41" s="10">
        <f t="shared" si="1"/>
        <v>0</v>
      </c>
      <c r="J41" s="10">
        <f>MIN(Params!$C$15,IF(I41&lt;=Params!$C$13,I41,Params!$C$13+(I41-Params!$C$13)*Params!$C$14))</f>
        <v>0</v>
      </c>
      <c r="K41" s="17">
        <f t="shared" si="2"/>
        <v>0</v>
      </c>
      <c r="L41" s="17">
        <f>ROUNDUP(25/7,0)</f>
        <v>4</v>
      </c>
    </row>
    <row r="42" spans="1:12" x14ac:dyDescent="0.4">
      <c r="A42" s="5">
        <v>26</v>
      </c>
      <c r="B42" s="16">
        <v>0</v>
      </c>
      <c r="C42" s="16">
        <v>0</v>
      </c>
      <c r="D42" s="16">
        <v>0</v>
      </c>
      <c r="E42" s="10">
        <f>B42*Params!$C$5+C42*Params!$C$6+D42*Params!$C$7</f>
        <v>0</v>
      </c>
      <c r="F42" s="10">
        <f t="shared" si="0"/>
        <v>3.5714285714285716</v>
      </c>
      <c r="G42" s="10">
        <f>IF(F42&lt;=0,Params!$C$9,MIN(Params!$C$9,MAX(Params!$C$8,E42/F42)))</f>
        <v>0.8</v>
      </c>
      <c r="H42" s="10">
        <f>Params!$C$12</f>
        <v>0.85</v>
      </c>
      <c r="I42" s="10">
        <f t="shared" si="1"/>
        <v>0</v>
      </c>
      <c r="J42" s="10">
        <f>MIN(Params!$C$15,IF(I42&lt;=Params!$C$13,I42,Params!$C$13+(I42-Params!$C$13)*Params!$C$14))</f>
        <v>0</v>
      </c>
      <c r="K42" s="17">
        <f t="shared" si="2"/>
        <v>0</v>
      </c>
      <c r="L42" s="17">
        <f>ROUNDUP(26/7,0)</f>
        <v>4</v>
      </c>
    </row>
    <row r="43" spans="1:12" x14ac:dyDescent="0.4">
      <c r="A43" s="5">
        <v>27</v>
      </c>
      <c r="B43" s="16">
        <v>0</v>
      </c>
      <c r="C43" s="16">
        <v>0</v>
      </c>
      <c r="D43" s="16">
        <v>0</v>
      </c>
      <c r="E43" s="10">
        <f>B43*Params!$C$5+C43*Params!$C$6+D43*Params!$C$7</f>
        <v>0</v>
      </c>
      <c r="F43" s="10">
        <f t="shared" si="0"/>
        <v>3.5714285714285716</v>
      </c>
      <c r="G43" s="10">
        <f>IF(F43&lt;=0,Params!$C$9,MIN(Params!$C$9,MAX(Params!$C$8,E43/F43)))</f>
        <v>0.8</v>
      </c>
      <c r="H43" s="10">
        <f>Params!$C$12</f>
        <v>0.85</v>
      </c>
      <c r="I43" s="10">
        <f t="shared" si="1"/>
        <v>0</v>
      </c>
      <c r="J43" s="10">
        <f>MIN(Params!$C$15,IF(I43&lt;=Params!$C$13,I43,Params!$C$13+(I43-Params!$C$13)*Params!$C$14))</f>
        <v>0</v>
      </c>
      <c r="K43" s="17">
        <f t="shared" si="2"/>
        <v>0</v>
      </c>
      <c r="L43" s="17">
        <f>ROUNDUP(27/7,0)</f>
        <v>4</v>
      </c>
    </row>
    <row r="44" spans="1:12" x14ac:dyDescent="0.4">
      <c r="A44" s="5">
        <v>28</v>
      </c>
      <c r="B44" s="16">
        <v>8</v>
      </c>
      <c r="C44" s="16">
        <v>0</v>
      </c>
      <c r="D44" s="16">
        <v>0</v>
      </c>
      <c r="E44" s="10">
        <f>B44*Params!$C$5+C44*Params!$C$6+D44*Params!$C$7</f>
        <v>8</v>
      </c>
      <c r="F44" s="10">
        <f t="shared" si="0"/>
        <v>2.5</v>
      </c>
      <c r="G44" s="10">
        <f>IF(F44&lt;=0,Params!$C$9,MIN(Params!$C$9,MAX(Params!$C$8,E44/F44)))</f>
        <v>1.5</v>
      </c>
      <c r="H44" s="10">
        <f>Params!$C$12</f>
        <v>0.85</v>
      </c>
      <c r="I44" s="10">
        <f t="shared" si="1"/>
        <v>10.199999999999999</v>
      </c>
      <c r="J44" s="10">
        <f>MIN(Params!$C$15,IF(I44&lt;=Params!$C$13,I44,Params!$C$13+(I44-Params!$C$13)*Params!$C$14))</f>
        <v>10.199999999999999</v>
      </c>
      <c r="K44" s="17">
        <f t="shared" si="2"/>
        <v>1</v>
      </c>
      <c r="L44" s="17">
        <f>ROUNDUP(28/7,0)</f>
        <v>4</v>
      </c>
    </row>
    <row r="46" spans="1:12" x14ac:dyDescent="0.4">
      <c r="A46" s="8" t="s">
        <v>87</v>
      </c>
    </row>
    <row r="47" spans="1:12" x14ac:dyDescent="0.4">
      <c r="A47" s="3" t="s">
        <v>88</v>
      </c>
      <c r="B47" s="3" t="s">
        <v>89</v>
      </c>
      <c r="C47" s="3" t="s">
        <v>90</v>
      </c>
      <c r="D47" s="3" t="s">
        <v>91</v>
      </c>
      <c r="E47" s="3" t="s">
        <v>92</v>
      </c>
      <c r="F47" s="3" t="s">
        <v>93</v>
      </c>
      <c r="G47" s="3" t="s">
        <v>94</v>
      </c>
      <c r="H47" s="3" t="s">
        <v>95</v>
      </c>
    </row>
    <row r="48" spans="1:12" x14ac:dyDescent="0.4">
      <c r="A48" s="5">
        <v>1</v>
      </c>
      <c r="B48" s="5">
        <f>SUMIFS(K17:K44,L17:L44,1)</f>
        <v>2</v>
      </c>
      <c r="C48" s="5">
        <f>7-B48</f>
        <v>5</v>
      </c>
      <c r="D48" s="5">
        <f>IF(AND(B48&gt;=Params!$C$16,C48&gt;=Params!$C$17),1+Params!$C$18,1)</f>
        <v>1</v>
      </c>
      <c r="E48" s="5">
        <f>SUMIFS(J17:J44,L17:L44,1)</f>
        <v>28.049999999999997</v>
      </c>
      <c r="F48" s="5">
        <f>E48*D48</f>
        <v>28.049999999999997</v>
      </c>
      <c r="G48" s="5">
        <f>F48</f>
        <v>28.049999999999997</v>
      </c>
      <c r="H48" s="5">
        <f>(G48/Params!$C$19)^(1/Params!$C$20)</f>
        <v>0.42850435855192909</v>
      </c>
    </row>
    <row r="49" spans="1:8" x14ac:dyDescent="0.4">
      <c r="A49" s="5">
        <v>2</v>
      </c>
      <c r="B49" s="5">
        <f>SUMIFS(K17:K44,L17:L44,2)</f>
        <v>2</v>
      </c>
      <c r="C49" s="5">
        <f>7-B49</f>
        <v>5</v>
      </c>
      <c r="D49" s="5">
        <f>IF(AND(B49&gt;=Params!$C$16,C49&gt;=Params!$C$17),1+Params!$C$18,1)</f>
        <v>1</v>
      </c>
      <c r="E49" s="5">
        <f>SUMIFS(J17:J44,L17:L44,2)</f>
        <v>31.875</v>
      </c>
      <c r="F49" s="5">
        <f>E49*D49</f>
        <v>31.875</v>
      </c>
      <c r="G49" s="5">
        <f>G48+F49</f>
        <v>59.924999999999997</v>
      </c>
      <c r="H49" s="5">
        <f>(G49/Params!$C$19)^(1/Params!$C$20)</f>
        <v>0.71078572177536148</v>
      </c>
    </row>
    <row r="50" spans="1:8" x14ac:dyDescent="0.4">
      <c r="A50" s="5">
        <v>3</v>
      </c>
      <c r="B50" s="5">
        <f>SUMIFS(K17:K44,L17:L44,3)</f>
        <v>2</v>
      </c>
      <c r="C50" s="5">
        <f>7-B50</f>
        <v>5</v>
      </c>
      <c r="D50" s="5">
        <f>IF(AND(B50&gt;=Params!$C$16,C50&gt;=Params!$C$17),1+Params!$C$18,1)</f>
        <v>1</v>
      </c>
      <c r="E50" s="5">
        <f>SUMIFS(J17:J44,L17:L44,3)</f>
        <v>29.324999999999999</v>
      </c>
      <c r="F50" s="5">
        <f>E50*D50</f>
        <v>29.324999999999999</v>
      </c>
      <c r="G50" s="5">
        <f>G49+F50</f>
        <v>89.25</v>
      </c>
      <c r="H50" s="5">
        <f>(G50/Params!$C$19)^(1/Params!$C$20)</f>
        <v>0.92698381150533138</v>
      </c>
    </row>
    <row r="51" spans="1:8" x14ac:dyDescent="0.4">
      <c r="A51" s="5">
        <v>4</v>
      </c>
      <c r="B51" s="5">
        <f>SUMIFS(K17:K44,L17:L44,4)</f>
        <v>2</v>
      </c>
      <c r="C51" s="5">
        <f>7-B51</f>
        <v>5</v>
      </c>
      <c r="D51" s="5">
        <f>IF(AND(B51&gt;=Params!$C$16,C51&gt;=Params!$C$17),1+Params!$C$18,1)</f>
        <v>1</v>
      </c>
      <c r="E51" s="5">
        <f>SUMIFS(J17:J44,L17:L44,4)</f>
        <v>25.5</v>
      </c>
      <c r="F51" s="5">
        <f>E51*D51</f>
        <v>25.5</v>
      </c>
      <c r="G51" s="5">
        <f>G50+F51</f>
        <v>114.75</v>
      </c>
      <c r="H51" s="5">
        <f>(G51/Params!$C$19)^(1/Params!$C$20)</f>
        <v>1.0960620208611336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workbookViewId="0">
      <pane ySplit="16" topLeftCell="A17" activePane="bottomLeft" state="frozen"/>
      <selection pane="bottomLeft"/>
    </sheetView>
  </sheetViews>
  <sheetFormatPr defaultRowHeight="17.399999999999999" x14ac:dyDescent="0.4"/>
  <cols>
    <col min="1" max="4" width="9" customWidth="1"/>
    <col min="5" max="5" width="11" customWidth="1"/>
    <col min="6" max="8" width="10" customWidth="1"/>
    <col min="9" max="10" width="9" customWidth="1"/>
    <col min="11" max="12" width="7" customWidth="1"/>
  </cols>
  <sheetData>
    <row r="1" spans="1:12" ht="18" customHeight="1" x14ac:dyDescent="0.4">
      <c r="A1" s="1" t="s">
        <v>96</v>
      </c>
    </row>
    <row r="2" spans="1:12" x14ac:dyDescent="0.4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  <c r="L2" s="3" t="s">
        <v>72</v>
      </c>
    </row>
    <row r="3" spans="1:12" x14ac:dyDescent="0.4">
      <c r="A3" s="13" t="s">
        <v>73</v>
      </c>
      <c r="B3" s="14"/>
      <c r="C3" s="14"/>
      <c r="D3" s="14"/>
      <c r="E3" s="15">
        <v>13.04</v>
      </c>
      <c r="F3" s="14"/>
      <c r="G3" s="14"/>
      <c r="H3" s="14"/>
      <c r="I3" s="14"/>
      <c r="J3" s="14"/>
      <c r="K3" s="14"/>
      <c r="L3" s="14"/>
    </row>
    <row r="4" spans="1:12" x14ac:dyDescent="0.4">
      <c r="A4" s="13" t="s">
        <v>74</v>
      </c>
      <c r="B4" s="14"/>
      <c r="C4" s="14"/>
      <c r="D4" s="14"/>
      <c r="E4" s="15">
        <v>13.04</v>
      </c>
      <c r="F4" s="14"/>
      <c r="G4" s="14"/>
      <c r="H4" s="14"/>
      <c r="I4" s="14"/>
      <c r="J4" s="14"/>
      <c r="K4" s="14"/>
      <c r="L4" s="14"/>
    </row>
    <row r="5" spans="1:12" x14ac:dyDescent="0.4">
      <c r="A5" s="13" t="s">
        <v>75</v>
      </c>
      <c r="B5" s="14"/>
      <c r="C5" s="14"/>
      <c r="D5" s="14"/>
      <c r="E5" s="15">
        <v>13.04</v>
      </c>
      <c r="F5" s="14"/>
      <c r="G5" s="14"/>
      <c r="H5" s="14"/>
      <c r="I5" s="14"/>
      <c r="J5" s="14"/>
      <c r="K5" s="14"/>
      <c r="L5" s="14"/>
    </row>
    <row r="6" spans="1:12" x14ac:dyDescent="0.4">
      <c r="A6" s="13" t="s">
        <v>76</v>
      </c>
      <c r="B6" s="14"/>
      <c r="C6" s="14"/>
      <c r="D6" s="14"/>
      <c r="E6" s="15">
        <v>13.04</v>
      </c>
      <c r="F6" s="14"/>
      <c r="G6" s="14"/>
      <c r="H6" s="14"/>
      <c r="I6" s="14"/>
      <c r="J6" s="14"/>
      <c r="K6" s="14"/>
      <c r="L6" s="14"/>
    </row>
    <row r="7" spans="1:12" x14ac:dyDescent="0.4">
      <c r="A7" s="13" t="s">
        <v>77</v>
      </c>
      <c r="B7" s="14"/>
      <c r="C7" s="14"/>
      <c r="D7" s="14"/>
      <c r="E7" s="15">
        <v>13.04</v>
      </c>
      <c r="F7" s="14"/>
      <c r="G7" s="14"/>
      <c r="H7" s="14"/>
      <c r="I7" s="14"/>
      <c r="J7" s="14"/>
      <c r="K7" s="14"/>
      <c r="L7" s="14"/>
    </row>
    <row r="8" spans="1:12" x14ac:dyDescent="0.4">
      <c r="A8" s="13" t="s">
        <v>78</v>
      </c>
      <c r="B8" s="14"/>
      <c r="C8" s="14"/>
      <c r="D8" s="14"/>
      <c r="E8" s="15">
        <v>13.04</v>
      </c>
      <c r="F8" s="14"/>
      <c r="G8" s="14"/>
      <c r="H8" s="14"/>
      <c r="I8" s="14"/>
      <c r="J8" s="14"/>
      <c r="K8" s="14"/>
      <c r="L8" s="14"/>
    </row>
    <row r="9" spans="1:12" x14ac:dyDescent="0.4">
      <c r="A9" s="13" t="s">
        <v>79</v>
      </c>
      <c r="B9" s="14"/>
      <c r="C9" s="14"/>
      <c r="D9" s="14"/>
      <c r="E9" s="15">
        <v>13.04</v>
      </c>
      <c r="F9" s="14"/>
      <c r="G9" s="14"/>
      <c r="H9" s="14"/>
      <c r="I9" s="14"/>
      <c r="J9" s="14"/>
      <c r="K9" s="14"/>
      <c r="L9" s="14"/>
    </row>
    <row r="10" spans="1:12" x14ac:dyDescent="0.4">
      <c r="A10" s="13" t="s">
        <v>80</v>
      </c>
      <c r="B10" s="14"/>
      <c r="C10" s="14"/>
      <c r="D10" s="14"/>
      <c r="E10" s="15">
        <v>13.04</v>
      </c>
      <c r="F10" s="14"/>
      <c r="G10" s="14"/>
      <c r="H10" s="14"/>
      <c r="I10" s="14"/>
      <c r="J10" s="14"/>
      <c r="K10" s="14"/>
      <c r="L10" s="14"/>
    </row>
    <row r="11" spans="1:12" x14ac:dyDescent="0.4">
      <c r="A11" s="13" t="s">
        <v>81</v>
      </c>
      <c r="B11" s="14"/>
      <c r="C11" s="14"/>
      <c r="D11" s="14"/>
      <c r="E11" s="15">
        <v>13.04</v>
      </c>
      <c r="F11" s="14"/>
      <c r="G11" s="14"/>
      <c r="H11" s="14"/>
      <c r="I11" s="14"/>
      <c r="J11" s="14"/>
      <c r="K11" s="14"/>
      <c r="L11" s="14"/>
    </row>
    <row r="12" spans="1:12" x14ac:dyDescent="0.4">
      <c r="A12" s="13" t="s">
        <v>82</v>
      </c>
      <c r="B12" s="14"/>
      <c r="C12" s="14"/>
      <c r="D12" s="14"/>
      <c r="E12" s="15">
        <v>13.04</v>
      </c>
      <c r="F12" s="14"/>
      <c r="G12" s="14"/>
      <c r="H12" s="14"/>
      <c r="I12" s="14"/>
      <c r="J12" s="14"/>
      <c r="K12" s="14"/>
      <c r="L12" s="14"/>
    </row>
    <row r="13" spans="1:12" x14ac:dyDescent="0.4">
      <c r="A13" s="13" t="s">
        <v>83</v>
      </c>
      <c r="B13" s="14"/>
      <c r="C13" s="14"/>
      <c r="D13" s="14"/>
      <c r="E13" s="15">
        <v>13.04</v>
      </c>
      <c r="F13" s="14"/>
      <c r="G13" s="14"/>
      <c r="H13" s="14"/>
      <c r="I13" s="14"/>
      <c r="J13" s="14"/>
      <c r="K13" s="14"/>
      <c r="L13" s="14"/>
    </row>
    <row r="14" spans="1:12" x14ac:dyDescent="0.4">
      <c r="A14" s="13" t="s">
        <v>84</v>
      </c>
      <c r="B14" s="14"/>
      <c r="C14" s="14"/>
      <c r="D14" s="14"/>
      <c r="E14" s="15">
        <v>13.04</v>
      </c>
      <c r="F14" s="14"/>
      <c r="G14" s="14"/>
      <c r="H14" s="14"/>
      <c r="I14" s="14"/>
      <c r="J14" s="14"/>
      <c r="K14" s="14"/>
      <c r="L14" s="14"/>
    </row>
    <row r="15" spans="1:12" x14ac:dyDescent="0.4">
      <c r="A15" s="13" t="s">
        <v>85</v>
      </c>
      <c r="B15" s="14"/>
      <c r="C15" s="14"/>
      <c r="D15" s="14"/>
      <c r="E15" s="15">
        <v>13.04</v>
      </c>
      <c r="F15" s="14"/>
      <c r="G15" s="14"/>
      <c r="H15" s="14"/>
      <c r="I15" s="14"/>
      <c r="J15" s="14"/>
      <c r="K15" s="14"/>
      <c r="L15" s="14"/>
    </row>
    <row r="16" spans="1:12" x14ac:dyDescent="0.4">
      <c r="A16" s="13" t="s">
        <v>86</v>
      </c>
      <c r="B16" s="14"/>
      <c r="C16" s="14"/>
      <c r="D16" s="14"/>
      <c r="E16" s="15">
        <v>13.04</v>
      </c>
      <c r="F16" s="14"/>
      <c r="G16" s="14"/>
      <c r="H16" s="14"/>
      <c r="I16" s="14"/>
      <c r="J16" s="14"/>
      <c r="K16" s="14"/>
      <c r="L16" s="14"/>
    </row>
    <row r="17" spans="1:12" x14ac:dyDescent="0.4">
      <c r="A17" s="5">
        <v>1</v>
      </c>
      <c r="B17" s="16">
        <v>30</v>
      </c>
      <c r="C17" s="16">
        <v>0</v>
      </c>
      <c r="D17" s="16">
        <v>0</v>
      </c>
      <c r="E17" s="10">
        <f>B17*Params!$C$5+C17*Params!$C$6+D17*Params!$C$7</f>
        <v>30</v>
      </c>
      <c r="F17" s="10">
        <f t="shared" ref="F17:F44" si="0">AVERAGE(E3:E16)</f>
        <v>13.039999999999994</v>
      </c>
      <c r="G17" s="10">
        <f>IF(F17&lt;=0,Params!$C$9,MIN(Params!$C$9,MAX(Params!$C$8,E17/F17)))</f>
        <v>1.5</v>
      </c>
      <c r="H17" s="10">
        <f>Params!$C$12</f>
        <v>0.85</v>
      </c>
      <c r="I17" s="10">
        <f t="shared" ref="I17:I44" si="1">E17*G17*H17</f>
        <v>38.25</v>
      </c>
      <c r="J17" s="10">
        <f>MIN(Params!$C$15,IF(I17&lt;=Params!$C$13,I17,Params!$C$13+(I17-Params!$C$13)*Params!$C$14))</f>
        <v>38.25</v>
      </c>
      <c r="K17" s="17">
        <f t="shared" ref="K17:K44" si="2">IF(E17&gt;0,1,0)</f>
        <v>1</v>
      </c>
      <c r="L17" s="17">
        <f>ROUNDUP(1/7,0)</f>
        <v>1</v>
      </c>
    </row>
    <row r="18" spans="1:12" x14ac:dyDescent="0.4">
      <c r="A18" s="5">
        <v>2</v>
      </c>
      <c r="B18" s="16">
        <v>0</v>
      </c>
      <c r="C18" s="16">
        <v>0</v>
      </c>
      <c r="D18" s="16">
        <v>0</v>
      </c>
      <c r="E18" s="10">
        <f>B18*Params!$C$5+C18*Params!$C$6+D18*Params!$C$7</f>
        <v>0</v>
      </c>
      <c r="F18" s="10">
        <f t="shared" si="0"/>
        <v>14.251428571428566</v>
      </c>
      <c r="G18" s="10">
        <f>IF(F18&lt;=0,Params!$C$9,MIN(Params!$C$9,MAX(Params!$C$8,E18/F18)))</f>
        <v>0.8</v>
      </c>
      <c r="H18" s="10">
        <f>Params!$C$12</f>
        <v>0.85</v>
      </c>
      <c r="I18" s="10">
        <f t="shared" si="1"/>
        <v>0</v>
      </c>
      <c r="J18" s="10">
        <f>MIN(Params!$C$15,IF(I18&lt;=Params!$C$13,I18,Params!$C$13+(I18-Params!$C$13)*Params!$C$14))</f>
        <v>0</v>
      </c>
      <c r="K18" s="17">
        <f t="shared" si="2"/>
        <v>0</v>
      </c>
      <c r="L18" s="17">
        <f>ROUNDUP(2/7,0)</f>
        <v>1</v>
      </c>
    </row>
    <row r="19" spans="1:12" x14ac:dyDescent="0.4">
      <c r="A19" s="5">
        <v>3</v>
      </c>
      <c r="B19" s="16">
        <v>30</v>
      </c>
      <c r="C19" s="16">
        <v>0</v>
      </c>
      <c r="D19" s="16">
        <v>0</v>
      </c>
      <c r="E19" s="10">
        <f>B19*Params!$C$5+C19*Params!$C$6+D19*Params!$C$7</f>
        <v>30</v>
      </c>
      <c r="F19" s="10">
        <f t="shared" si="0"/>
        <v>13.319999999999995</v>
      </c>
      <c r="G19" s="10">
        <f>IF(F19&lt;=0,Params!$C$9,MIN(Params!$C$9,MAX(Params!$C$8,E19/F19)))</f>
        <v>1.5</v>
      </c>
      <c r="H19" s="10">
        <f>Params!$C$12</f>
        <v>0.85</v>
      </c>
      <c r="I19" s="10">
        <f t="shared" si="1"/>
        <v>38.25</v>
      </c>
      <c r="J19" s="10">
        <f>MIN(Params!$C$15,IF(I19&lt;=Params!$C$13,I19,Params!$C$13+(I19-Params!$C$13)*Params!$C$14))</f>
        <v>38.25</v>
      </c>
      <c r="K19" s="17">
        <f t="shared" si="2"/>
        <v>1</v>
      </c>
      <c r="L19" s="17">
        <f>ROUNDUP(3/7,0)</f>
        <v>1</v>
      </c>
    </row>
    <row r="20" spans="1:12" x14ac:dyDescent="0.4">
      <c r="A20" s="5">
        <v>4</v>
      </c>
      <c r="B20" s="16">
        <v>0</v>
      </c>
      <c r="C20" s="16">
        <v>0</v>
      </c>
      <c r="D20" s="16">
        <v>0</v>
      </c>
      <c r="E20" s="10">
        <f>B20*Params!$C$5+C20*Params!$C$6+D20*Params!$C$7</f>
        <v>0</v>
      </c>
      <c r="F20" s="10">
        <f t="shared" si="0"/>
        <v>14.531428571428567</v>
      </c>
      <c r="G20" s="10">
        <f>IF(F20&lt;=0,Params!$C$9,MIN(Params!$C$9,MAX(Params!$C$8,E20/F20)))</f>
        <v>0.8</v>
      </c>
      <c r="H20" s="10">
        <f>Params!$C$12</f>
        <v>0.85</v>
      </c>
      <c r="I20" s="10">
        <f t="shared" si="1"/>
        <v>0</v>
      </c>
      <c r="J20" s="10">
        <f>MIN(Params!$C$15,IF(I20&lt;=Params!$C$13,I20,Params!$C$13+(I20-Params!$C$13)*Params!$C$14))</f>
        <v>0</v>
      </c>
      <c r="K20" s="17">
        <f t="shared" si="2"/>
        <v>0</v>
      </c>
      <c r="L20" s="17">
        <f>ROUNDUP(4/7,0)</f>
        <v>1</v>
      </c>
    </row>
    <row r="21" spans="1:12" x14ac:dyDescent="0.4">
      <c r="A21" s="5">
        <v>5</v>
      </c>
      <c r="B21" s="16">
        <v>30</v>
      </c>
      <c r="C21" s="16">
        <v>0</v>
      </c>
      <c r="D21" s="16">
        <v>0</v>
      </c>
      <c r="E21" s="10">
        <f>B21*Params!$C$5+C21*Params!$C$6+D21*Params!$C$7</f>
        <v>30</v>
      </c>
      <c r="F21" s="10">
        <f t="shared" si="0"/>
        <v>13.599999999999996</v>
      </c>
      <c r="G21" s="10">
        <f>IF(F21&lt;=0,Params!$C$9,MIN(Params!$C$9,MAX(Params!$C$8,E21/F21)))</f>
        <v>1.5</v>
      </c>
      <c r="H21" s="10">
        <f>Params!$C$12</f>
        <v>0.85</v>
      </c>
      <c r="I21" s="10">
        <f t="shared" si="1"/>
        <v>38.25</v>
      </c>
      <c r="J21" s="10">
        <f>MIN(Params!$C$15,IF(I21&lt;=Params!$C$13,I21,Params!$C$13+(I21-Params!$C$13)*Params!$C$14))</f>
        <v>38.25</v>
      </c>
      <c r="K21" s="17">
        <f t="shared" si="2"/>
        <v>1</v>
      </c>
      <c r="L21" s="17">
        <f>ROUNDUP(5/7,0)</f>
        <v>1</v>
      </c>
    </row>
    <row r="22" spans="1:12" x14ac:dyDescent="0.4">
      <c r="A22" s="5">
        <v>6</v>
      </c>
      <c r="B22" s="16">
        <v>0</v>
      </c>
      <c r="C22" s="16">
        <v>0</v>
      </c>
      <c r="D22" s="16">
        <v>0</v>
      </c>
      <c r="E22" s="10">
        <f>B22*Params!$C$5+C22*Params!$C$6+D22*Params!$C$7</f>
        <v>0</v>
      </c>
      <c r="F22" s="10">
        <f t="shared" si="0"/>
        <v>14.811428571428568</v>
      </c>
      <c r="G22" s="10">
        <f>IF(F22&lt;=0,Params!$C$9,MIN(Params!$C$9,MAX(Params!$C$8,E22/F22)))</f>
        <v>0.8</v>
      </c>
      <c r="H22" s="10">
        <f>Params!$C$12</f>
        <v>0.85</v>
      </c>
      <c r="I22" s="10">
        <f t="shared" si="1"/>
        <v>0</v>
      </c>
      <c r="J22" s="10">
        <f>MIN(Params!$C$15,IF(I22&lt;=Params!$C$13,I22,Params!$C$13+(I22-Params!$C$13)*Params!$C$14))</f>
        <v>0</v>
      </c>
      <c r="K22" s="17">
        <f t="shared" si="2"/>
        <v>0</v>
      </c>
      <c r="L22" s="17">
        <f>ROUNDUP(6/7,0)</f>
        <v>1</v>
      </c>
    </row>
    <row r="23" spans="1:12" x14ac:dyDescent="0.4">
      <c r="A23" s="5">
        <v>7</v>
      </c>
      <c r="B23" s="16">
        <v>0</v>
      </c>
      <c r="C23" s="16">
        <v>0</v>
      </c>
      <c r="D23" s="16">
        <v>0</v>
      </c>
      <c r="E23" s="10">
        <f>B23*Params!$C$5+C23*Params!$C$6+D23*Params!$C$7</f>
        <v>0</v>
      </c>
      <c r="F23" s="10">
        <f t="shared" si="0"/>
        <v>13.879999999999997</v>
      </c>
      <c r="G23" s="10">
        <f>IF(F23&lt;=0,Params!$C$9,MIN(Params!$C$9,MAX(Params!$C$8,E23/F23)))</f>
        <v>0.8</v>
      </c>
      <c r="H23" s="10">
        <f>Params!$C$12</f>
        <v>0.85</v>
      </c>
      <c r="I23" s="10">
        <f t="shared" si="1"/>
        <v>0</v>
      </c>
      <c r="J23" s="10">
        <f>MIN(Params!$C$15,IF(I23&lt;=Params!$C$13,I23,Params!$C$13+(I23-Params!$C$13)*Params!$C$14))</f>
        <v>0</v>
      </c>
      <c r="K23" s="17">
        <f t="shared" si="2"/>
        <v>0</v>
      </c>
      <c r="L23" s="17">
        <f>ROUNDUP(7/7,0)</f>
        <v>1</v>
      </c>
    </row>
    <row r="24" spans="1:12" x14ac:dyDescent="0.4">
      <c r="A24" s="5">
        <v>8</v>
      </c>
      <c r="B24" s="16">
        <v>0</v>
      </c>
      <c r="C24" s="16">
        <v>0</v>
      </c>
      <c r="D24" s="16">
        <v>0</v>
      </c>
      <c r="E24" s="10">
        <f>B24*Params!$C$5+C24*Params!$C$6+D24*Params!$C$7</f>
        <v>0</v>
      </c>
      <c r="F24" s="10">
        <f t="shared" si="0"/>
        <v>12.948571428571427</v>
      </c>
      <c r="G24" s="10">
        <f>IF(F24&lt;=0,Params!$C$9,MIN(Params!$C$9,MAX(Params!$C$8,E24/F24)))</f>
        <v>0.8</v>
      </c>
      <c r="H24" s="10">
        <f>Params!$C$12</f>
        <v>0.85</v>
      </c>
      <c r="I24" s="10">
        <f t="shared" si="1"/>
        <v>0</v>
      </c>
      <c r="J24" s="10">
        <f>MIN(Params!$C$15,IF(I24&lt;=Params!$C$13,I24,Params!$C$13+(I24-Params!$C$13)*Params!$C$14))</f>
        <v>0</v>
      </c>
      <c r="K24" s="17">
        <f t="shared" si="2"/>
        <v>0</v>
      </c>
      <c r="L24" s="17">
        <f>ROUNDUP(8/7,0)</f>
        <v>2</v>
      </c>
    </row>
    <row r="25" spans="1:12" x14ac:dyDescent="0.4">
      <c r="A25" s="5">
        <v>9</v>
      </c>
      <c r="B25" s="16">
        <v>30</v>
      </c>
      <c r="C25" s="16">
        <v>0</v>
      </c>
      <c r="D25" s="16">
        <v>0</v>
      </c>
      <c r="E25" s="10">
        <f>B25*Params!$C$5+C25*Params!$C$6+D25*Params!$C$7</f>
        <v>30</v>
      </c>
      <c r="F25" s="10">
        <f t="shared" si="0"/>
        <v>12.017142857142856</v>
      </c>
      <c r="G25" s="10">
        <f>IF(F25&lt;=0,Params!$C$9,MIN(Params!$C$9,MAX(Params!$C$8,E25/F25)))</f>
        <v>1.5</v>
      </c>
      <c r="H25" s="10">
        <f>Params!$C$12</f>
        <v>0.85</v>
      </c>
      <c r="I25" s="10">
        <f t="shared" si="1"/>
        <v>38.25</v>
      </c>
      <c r="J25" s="10">
        <f>MIN(Params!$C$15,IF(I25&lt;=Params!$C$13,I25,Params!$C$13+(I25-Params!$C$13)*Params!$C$14))</f>
        <v>38.25</v>
      </c>
      <c r="K25" s="17">
        <f t="shared" si="2"/>
        <v>1</v>
      </c>
      <c r="L25" s="17">
        <f>ROUNDUP(9/7,0)</f>
        <v>2</v>
      </c>
    </row>
    <row r="26" spans="1:12" x14ac:dyDescent="0.4">
      <c r="A26" s="5">
        <v>10</v>
      </c>
      <c r="B26" s="16">
        <v>0</v>
      </c>
      <c r="C26" s="16">
        <v>0</v>
      </c>
      <c r="D26" s="16">
        <v>0</v>
      </c>
      <c r="E26" s="10">
        <f>B26*Params!$C$5+C26*Params!$C$6+D26*Params!$C$7</f>
        <v>0</v>
      </c>
      <c r="F26" s="10">
        <f t="shared" si="0"/>
        <v>13.228571428571428</v>
      </c>
      <c r="G26" s="10">
        <f>IF(F26&lt;=0,Params!$C$9,MIN(Params!$C$9,MAX(Params!$C$8,E26/F26)))</f>
        <v>0.8</v>
      </c>
      <c r="H26" s="10">
        <f>Params!$C$12</f>
        <v>0.85</v>
      </c>
      <c r="I26" s="10">
        <f t="shared" si="1"/>
        <v>0</v>
      </c>
      <c r="J26" s="10">
        <f>MIN(Params!$C$15,IF(I26&lt;=Params!$C$13,I26,Params!$C$13+(I26-Params!$C$13)*Params!$C$14))</f>
        <v>0</v>
      </c>
      <c r="K26" s="17">
        <f t="shared" si="2"/>
        <v>0</v>
      </c>
      <c r="L26" s="17">
        <f>ROUNDUP(10/7,0)</f>
        <v>2</v>
      </c>
    </row>
    <row r="27" spans="1:12" x14ac:dyDescent="0.4">
      <c r="A27" s="5">
        <v>11</v>
      </c>
      <c r="B27" s="16">
        <v>32</v>
      </c>
      <c r="C27" s="16">
        <v>0</v>
      </c>
      <c r="D27" s="16">
        <v>0</v>
      </c>
      <c r="E27" s="10">
        <f>B27*Params!$C$5+C27*Params!$C$6+D27*Params!$C$7</f>
        <v>32</v>
      </c>
      <c r="F27" s="10">
        <f t="shared" si="0"/>
        <v>12.297142857142857</v>
      </c>
      <c r="G27" s="10">
        <f>IF(F27&lt;=0,Params!$C$9,MIN(Params!$C$9,MAX(Params!$C$8,E27/F27)))</f>
        <v>1.5</v>
      </c>
      <c r="H27" s="10">
        <f>Params!$C$12</f>
        <v>0.85</v>
      </c>
      <c r="I27" s="10">
        <f t="shared" si="1"/>
        <v>40.799999999999997</v>
      </c>
      <c r="J27" s="10">
        <f>MIN(Params!$C$15,IF(I27&lt;=Params!$C$13,I27,Params!$C$13+(I27-Params!$C$13)*Params!$C$14))</f>
        <v>40.799999999999997</v>
      </c>
      <c r="K27" s="17">
        <f t="shared" si="2"/>
        <v>1</v>
      </c>
      <c r="L27" s="17">
        <f>ROUNDUP(11/7,0)</f>
        <v>2</v>
      </c>
    </row>
    <row r="28" spans="1:12" x14ac:dyDescent="0.4">
      <c r="A28" s="5">
        <v>12</v>
      </c>
      <c r="B28" s="16">
        <v>0</v>
      </c>
      <c r="C28" s="16">
        <v>0</v>
      </c>
      <c r="D28" s="16">
        <v>0</v>
      </c>
      <c r="E28" s="10">
        <f>B28*Params!$C$5+C28*Params!$C$6+D28*Params!$C$7</f>
        <v>0</v>
      </c>
      <c r="F28" s="10">
        <f t="shared" si="0"/>
        <v>13.651428571428571</v>
      </c>
      <c r="G28" s="10">
        <f>IF(F28&lt;=0,Params!$C$9,MIN(Params!$C$9,MAX(Params!$C$8,E28/F28)))</f>
        <v>0.8</v>
      </c>
      <c r="H28" s="10">
        <f>Params!$C$12</f>
        <v>0.85</v>
      </c>
      <c r="I28" s="10">
        <f t="shared" si="1"/>
        <v>0</v>
      </c>
      <c r="J28" s="10">
        <f>MIN(Params!$C$15,IF(I28&lt;=Params!$C$13,I28,Params!$C$13+(I28-Params!$C$13)*Params!$C$14))</f>
        <v>0</v>
      </c>
      <c r="K28" s="17">
        <f t="shared" si="2"/>
        <v>0</v>
      </c>
      <c r="L28" s="17">
        <f>ROUNDUP(12/7,0)</f>
        <v>2</v>
      </c>
    </row>
    <row r="29" spans="1:12" x14ac:dyDescent="0.4">
      <c r="A29" s="5">
        <v>13</v>
      </c>
      <c r="B29" s="16">
        <v>30</v>
      </c>
      <c r="C29" s="16">
        <v>0</v>
      </c>
      <c r="D29" s="16">
        <v>0</v>
      </c>
      <c r="E29" s="10">
        <f>B29*Params!$C$5+C29*Params!$C$6+D29*Params!$C$7</f>
        <v>30</v>
      </c>
      <c r="F29" s="10">
        <f t="shared" si="0"/>
        <v>12.719999999999999</v>
      </c>
      <c r="G29" s="10">
        <f>IF(F29&lt;=0,Params!$C$9,MIN(Params!$C$9,MAX(Params!$C$8,E29/F29)))</f>
        <v>1.5</v>
      </c>
      <c r="H29" s="10">
        <f>Params!$C$12</f>
        <v>0.85</v>
      </c>
      <c r="I29" s="10">
        <f t="shared" si="1"/>
        <v>38.25</v>
      </c>
      <c r="J29" s="10">
        <f>MIN(Params!$C$15,IF(I29&lt;=Params!$C$13,I29,Params!$C$13+(I29-Params!$C$13)*Params!$C$14))</f>
        <v>38.25</v>
      </c>
      <c r="K29" s="17">
        <f t="shared" si="2"/>
        <v>1</v>
      </c>
      <c r="L29" s="17">
        <f>ROUNDUP(13/7,0)</f>
        <v>2</v>
      </c>
    </row>
    <row r="30" spans="1:12" x14ac:dyDescent="0.4">
      <c r="A30" s="5">
        <v>14</v>
      </c>
      <c r="B30" s="16">
        <v>0</v>
      </c>
      <c r="C30" s="16">
        <v>0</v>
      </c>
      <c r="D30" s="16">
        <v>0</v>
      </c>
      <c r="E30" s="10">
        <f>B30*Params!$C$5+C30*Params!$C$6+D30*Params!$C$7</f>
        <v>0</v>
      </c>
      <c r="F30" s="10">
        <f t="shared" si="0"/>
        <v>13.931428571428571</v>
      </c>
      <c r="G30" s="10">
        <f>IF(F30&lt;=0,Params!$C$9,MIN(Params!$C$9,MAX(Params!$C$8,E30/F30)))</f>
        <v>0.8</v>
      </c>
      <c r="H30" s="10">
        <f>Params!$C$12</f>
        <v>0.85</v>
      </c>
      <c r="I30" s="10">
        <f t="shared" si="1"/>
        <v>0</v>
      </c>
      <c r="J30" s="10">
        <f>MIN(Params!$C$15,IF(I30&lt;=Params!$C$13,I30,Params!$C$13+(I30-Params!$C$13)*Params!$C$14))</f>
        <v>0</v>
      </c>
      <c r="K30" s="17">
        <f t="shared" si="2"/>
        <v>0</v>
      </c>
      <c r="L30" s="17">
        <f>ROUNDUP(14/7,0)</f>
        <v>2</v>
      </c>
    </row>
    <row r="31" spans="1:12" x14ac:dyDescent="0.4">
      <c r="A31" s="5">
        <v>15</v>
      </c>
      <c r="B31" s="16">
        <v>30</v>
      </c>
      <c r="C31" s="16">
        <v>0</v>
      </c>
      <c r="D31" s="16">
        <v>0</v>
      </c>
      <c r="E31" s="10">
        <f>B31*Params!$C$5+C31*Params!$C$6+D31*Params!$C$7</f>
        <v>30</v>
      </c>
      <c r="F31" s="10">
        <f t="shared" si="0"/>
        <v>13</v>
      </c>
      <c r="G31" s="10">
        <f>IF(F31&lt;=0,Params!$C$9,MIN(Params!$C$9,MAX(Params!$C$8,E31/F31)))</f>
        <v>1.5</v>
      </c>
      <c r="H31" s="10">
        <f>Params!$C$12</f>
        <v>0.85</v>
      </c>
      <c r="I31" s="10">
        <f t="shared" si="1"/>
        <v>38.25</v>
      </c>
      <c r="J31" s="10">
        <f>MIN(Params!$C$15,IF(I31&lt;=Params!$C$13,I31,Params!$C$13+(I31-Params!$C$13)*Params!$C$14))</f>
        <v>38.25</v>
      </c>
      <c r="K31" s="17">
        <f t="shared" si="2"/>
        <v>1</v>
      </c>
      <c r="L31" s="17">
        <f>ROUNDUP(15/7,0)</f>
        <v>3</v>
      </c>
    </row>
    <row r="32" spans="1:12" x14ac:dyDescent="0.4">
      <c r="A32" s="5">
        <v>16</v>
      </c>
      <c r="B32" s="16">
        <v>0</v>
      </c>
      <c r="C32" s="16">
        <v>0</v>
      </c>
      <c r="D32" s="16">
        <v>0</v>
      </c>
      <c r="E32" s="10">
        <f>B32*Params!$C$5+C32*Params!$C$6+D32*Params!$C$7</f>
        <v>0</v>
      </c>
      <c r="F32" s="10">
        <f t="shared" si="0"/>
        <v>13</v>
      </c>
      <c r="G32" s="10">
        <f>IF(F32&lt;=0,Params!$C$9,MIN(Params!$C$9,MAX(Params!$C$8,E32/F32)))</f>
        <v>0.8</v>
      </c>
      <c r="H32" s="10">
        <f>Params!$C$12</f>
        <v>0.85</v>
      </c>
      <c r="I32" s="10">
        <f t="shared" si="1"/>
        <v>0</v>
      </c>
      <c r="J32" s="10">
        <f>MIN(Params!$C$15,IF(I32&lt;=Params!$C$13,I32,Params!$C$13+(I32-Params!$C$13)*Params!$C$14))</f>
        <v>0</v>
      </c>
      <c r="K32" s="17">
        <f t="shared" si="2"/>
        <v>0</v>
      </c>
      <c r="L32" s="17">
        <f>ROUNDUP(16/7,0)</f>
        <v>3</v>
      </c>
    </row>
    <row r="33" spans="1:12" x14ac:dyDescent="0.4">
      <c r="A33" s="5">
        <v>17</v>
      </c>
      <c r="B33" s="16">
        <v>28</v>
      </c>
      <c r="C33" s="16">
        <v>0</v>
      </c>
      <c r="D33" s="16">
        <v>0</v>
      </c>
      <c r="E33" s="10">
        <f>B33*Params!$C$5+C33*Params!$C$6+D33*Params!$C$7</f>
        <v>28</v>
      </c>
      <c r="F33" s="10">
        <f t="shared" si="0"/>
        <v>13</v>
      </c>
      <c r="G33" s="10">
        <f>IF(F33&lt;=0,Params!$C$9,MIN(Params!$C$9,MAX(Params!$C$8,E33/F33)))</f>
        <v>1.5</v>
      </c>
      <c r="H33" s="10">
        <f>Params!$C$12</f>
        <v>0.85</v>
      </c>
      <c r="I33" s="10">
        <f t="shared" si="1"/>
        <v>35.699999999999996</v>
      </c>
      <c r="J33" s="10">
        <f>MIN(Params!$C$15,IF(I33&lt;=Params!$C$13,I33,Params!$C$13+(I33-Params!$C$13)*Params!$C$14))</f>
        <v>35.699999999999996</v>
      </c>
      <c r="K33" s="17">
        <f t="shared" si="2"/>
        <v>1</v>
      </c>
      <c r="L33" s="17">
        <f>ROUNDUP(17/7,0)</f>
        <v>3</v>
      </c>
    </row>
    <row r="34" spans="1:12" x14ac:dyDescent="0.4">
      <c r="A34" s="5">
        <v>18</v>
      </c>
      <c r="B34" s="16">
        <v>0</v>
      </c>
      <c r="C34" s="16">
        <v>0</v>
      </c>
      <c r="D34" s="16">
        <v>0</v>
      </c>
      <c r="E34" s="10">
        <f>B34*Params!$C$5+C34*Params!$C$6+D34*Params!$C$7</f>
        <v>0</v>
      </c>
      <c r="F34" s="10">
        <f t="shared" si="0"/>
        <v>12.857142857142858</v>
      </c>
      <c r="G34" s="10">
        <f>IF(F34&lt;=0,Params!$C$9,MIN(Params!$C$9,MAX(Params!$C$8,E34/F34)))</f>
        <v>0.8</v>
      </c>
      <c r="H34" s="10">
        <f>Params!$C$12</f>
        <v>0.85</v>
      </c>
      <c r="I34" s="10">
        <f t="shared" si="1"/>
        <v>0</v>
      </c>
      <c r="J34" s="10">
        <f>MIN(Params!$C$15,IF(I34&lt;=Params!$C$13,I34,Params!$C$13+(I34-Params!$C$13)*Params!$C$14))</f>
        <v>0</v>
      </c>
      <c r="K34" s="17">
        <f t="shared" si="2"/>
        <v>0</v>
      </c>
      <c r="L34" s="17">
        <f>ROUNDUP(18/7,0)</f>
        <v>3</v>
      </c>
    </row>
    <row r="35" spans="1:12" x14ac:dyDescent="0.4">
      <c r="A35" s="5">
        <v>19</v>
      </c>
      <c r="B35" s="16">
        <v>30</v>
      </c>
      <c r="C35" s="16">
        <v>0</v>
      </c>
      <c r="D35" s="16">
        <v>0</v>
      </c>
      <c r="E35" s="10">
        <f>B35*Params!$C$5+C35*Params!$C$6+D35*Params!$C$7</f>
        <v>30</v>
      </c>
      <c r="F35" s="10">
        <f t="shared" si="0"/>
        <v>12.857142857142858</v>
      </c>
      <c r="G35" s="10">
        <f>IF(F35&lt;=0,Params!$C$9,MIN(Params!$C$9,MAX(Params!$C$8,E35/F35)))</f>
        <v>1.5</v>
      </c>
      <c r="H35" s="10">
        <f>Params!$C$12</f>
        <v>0.85</v>
      </c>
      <c r="I35" s="10">
        <f t="shared" si="1"/>
        <v>38.25</v>
      </c>
      <c r="J35" s="10">
        <f>MIN(Params!$C$15,IF(I35&lt;=Params!$C$13,I35,Params!$C$13+(I35-Params!$C$13)*Params!$C$14))</f>
        <v>38.25</v>
      </c>
      <c r="K35" s="17">
        <f t="shared" si="2"/>
        <v>1</v>
      </c>
      <c r="L35" s="17">
        <f>ROUNDUP(19/7,0)</f>
        <v>3</v>
      </c>
    </row>
    <row r="36" spans="1:12" x14ac:dyDescent="0.4">
      <c r="A36" s="5">
        <v>20</v>
      </c>
      <c r="B36" s="16">
        <v>0</v>
      </c>
      <c r="C36" s="16">
        <v>0</v>
      </c>
      <c r="D36" s="16">
        <v>0</v>
      </c>
      <c r="E36" s="10">
        <f>B36*Params!$C$5+C36*Params!$C$6+D36*Params!$C$7</f>
        <v>0</v>
      </c>
      <c r="F36" s="10">
        <f t="shared" si="0"/>
        <v>12.857142857142858</v>
      </c>
      <c r="G36" s="10">
        <f>IF(F36&lt;=0,Params!$C$9,MIN(Params!$C$9,MAX(Params!$C$8,E36/F36)))</f>
        <v>0.8</v>
      </c>
      <c r="H36" s="10">
        <f>Params!$C$12</f>
        <v>0.85</v>
      </c>
      <c r="I36" s="10">
        <f t="shared" si="1"/>
        <v>0</v>
      </c>
      <c r="J36" s="10">
        <f>MIN(Params!$C$15,IF(I36&lt;=Params!$C$13,I36,Params!$C$13+(I36-Params!$C$13)*Params!$C$14))</f>
        <v>0</v>
      </c>
      <c r="K36" s="17">
        <f t="shared" si="2"/>
        <v>0</v>
      </c>
      <c r="L36" s="17">
        <f>ROUNDUP(20/7,0)</f>
        <v>3</v>
      </c>
    </row>
    <row r="37" spans="1:12" x14ac:dyDescent="0.4">
      <c r="A37" s="5">
        <v>21</v>
      </c>
      <c r="B37" s="16">
        <v>0</v>
      </c>
      <c r="C37" s="16">
        <v>0</v>
      </c>
      <c r="D37" s="16">
        <v>0</v>
      </c>
      <c r="E37" s="10">
        <f>B37*Params!$C$5+C37*Params!$C$6+D37*Params!$C$7</f>
        <v>0</v>
      </c>
      <c r="F37" s="10">
        <f t="shared" si="0"/>
        <v>12.857142857142858</v>
      </c>
      <c r="G37" s="10">
        <f>IF(F37&lt;=0,Params!$C$9,MIN(Params!$C$9,MAX(Params!$C$8,E37/F37)))</f>
        <v>0.8</v>
      </c>
      <c r="H37" s="10">
        <f>Params!$C$12</f>
        <v>0.85</v>
      </c>
      <c r="I37" s="10">
        <f t="shared" si="1"/>
        <v>0</v>
      </c>
      <c r="J37" s="10">
        <f>MIN(Params!$C$15,IF(I37&lt;=Params!$C$13,I37,Params!$C$13+(I37-Params!$C$13)*Params!$C$14))</f>
        <v>0</v>
      </c>
      <c r="K37" s="17">
        <f t="shared" si="2"/>
        <v>0</v>
      </c>
      <c r="L37" s="17">
        <f>ROUNDUP(21/7,0)</f>
        <v>3</v>
      </c>
    </row>
    <row r="38" spans="1:12" x14ac:dyDescent="0.4">
      <c r="A38" s="5">
        <v>22</v>
      </c>
      <c r="B38" s="16">
        <v>0</v>
      </c>
      <c r="C38" s="16">
        <v>0</v>
      </c>
      <c r="D38" s="16">
        <v>0</v>
      </c>
      <c r="E38" s="10">
        <f>B38*Params!$C$5+C38*Params!$C$6+D38*Params!$C$7</f>
        <v>0</v>
      </c>
      <c r="F38" s="10">
        <f t="shared" si="0"/>
        <v>12.857142857142858</v>
      </c>
      <c r="G38" s="10">
        <f>IF(F38&lt;=0,Params!$C$9,MIN(Params!$C$9,MAX(Params!$C$8,E38/F38)))</f>
        <v>0.8</v>
      </c>
      <c r="H38" s="10">
        <f>Params!$C$12</f>
        <v>0.85</v>
      </c>
      <c r="I38" s="10">
        <f t="shared" si="1"/>
        <v>0</v>
      </c>
      <c r="J38" s="10">
        <f>MIN(Params!$C$15,IF(I38&lt;=Params!$C$13,I38,Params!$C$13+(I38-Params!$C$13)*Params!$C$14))</f>
        <v>0</v>
      </c>
      <c r="K38" s="17">
        <f t="shared" si="2"/>
        <v>0</v>
      </c>
      <c r="L38" s="17">
        <f>ROUNDUP(22/7,0)</f>
        <v>4</v>
      </c>
    </row>
    <row r="39" spans="1:12" x14ac:dyDescent="0.4">
      <c r="A39" s="5">
        <v>23</v>
      </c>
      <c r="B39" s="16">
        <v>30</v>
      </c>
      <c r="C39" s="16">
        <v>0</v>
      </c>
      <c r="D39" s="16">
        <v>0</v>
      </c>
      <c r="E39" s="10">
        <f>B39*Params!$C$5+C39*Params!$C$6+D39*Params!$C$7</f>
        <v>30</v>
      </c>
      <c r="F39" s="10">
        <f t="shared" si="0"/>
        <v>12.857142857142858</v>
      </c>
      <c r="G39" s="10">
        <f>IF(F39&lt;=0,Params!$C$9,MIN(Params!$C$9,MAX(Params!$C$8,E39/F39)))</f>
        <v>1.5</v>
      </c>
      <c r="H39" s="10">
        <f>Params!$C$12</f>
        <v>0.85</v>
      </c>
      <c r="I39" s="10">
        <f t="shared" si="1"/>
        <v>38.25</v>
      </c>
      <c r="J39" s="10">
        <f>MIN(Params!$C$15,IF(I39&lt;=Params!$C$13,I39,Params!$C$13+(I39-Params!$C$13)*Params!$C$14))</f>
        <v>38.25</v>
      </c>
      <c r="K39" s="17">
        <f t="shared" si="2"/>
        <v>1</v>
      </c>
      <c r="L39" s="17">
        <f>ROUNDUP(23/7,0)</f>
        <v>4</v>
      </c>
    </row>
    <row r="40" spans="1:12" x14ac:dyDescent="0.4">
      <c r="A40" s="5">
        <v>24</v>
      </c>
      <c r="B40" s="16">
        <v>0</v>
      </c>
      <c r="C40" s="16">
        <v>0</v>
      </c>
      <c r="D40" s="16">
        <v>0</v>
      </c>
      <c r="E40" s="10">
        <f>B40*Params!$C$5+C40*Params!$C$6+D40*Params!$C$7</f>
        <v>0</v>
      </c>
      <c r="F40" s="10">
        <f t="shared" si="0"/>
        <v>12.857142857142858</v>
      </c>
      <c r="G40" s="10">
        <f>IF(F40&lt;=0,Params!$C$9,MIN(Params!$C$9,MAX(Params!$C$8,E40/F40)))</f>
        <v>0.8</v>
      </c>
      <c r="H40" s="10">
        <f>Params!$C$12</f>
        <v>0.85</v>
      </c>
      <c r="I40" s="10">
        <f t="shared" si="1"/>
        <v>0</v>
      </c>
      <c r="J40" s="10">
        <f>MIN(Params!$C$15,IF(I40&lt;=Params!$C$13,I40,Params!$C$13+(I40-Params!$C$13)*Params!$C$14))</f>
        <v>0</v>
      </c>
      <c r="K40" s="17">
        <f t="shared" si="2"/>
        <v>0</v>
      </c>
      <c r="L40" s="17">
        <f>ROUNDUP(24/7,0)</f>
        <v>4</v>
      </c>
    </row>
    <row r="41" spans="1:12" x14ac:dyDescent="0.4">
      <c r="A41" s="5">
        <v>25</v>
      </c>
      <c r="B41" s="16">
        <v>30</v>
      </c>
      <c r="C41" s="16">
        <v>0</v>
      </c>
      <c r="D41" s="16">
        <v>0</v>
      </c>
      <c r="E41" s="10">
        <f>B41*Params!$C$5+C41*Params!$C$6+D41*Params!$C$7</f>
        <v>30</v>
      </c>
      <c r="F41" s="10">
        <f t="shared" si="0"/>
        <v>12.857142857142858</v>
      </c>
      <c r="G41" s="10">
        <f>IF(F41&lt;=0,Params!$C$9,MIN(Params!$C$9,MAX(Params!$C$8,E41/F41)))</f>
        <v>1.5</v>
      </c>
      <c r="H41" s="10">
        <f>Params!$C$12</f>
        <v>0.85</v>
      </c>
      <c r="I41" s="10">
        <f t="shared" si="1"/>
        <v>38.25</v>
      </c>
      <c r="J41" s="10">
        <f>MIN(Params!$C$15,IF(I41&lt;=Params!$C$13,I41,Params!$C$13+(I41-Params!$C$13)*Params!$C$14))</f>
        <v>38.25</v>
      </c>
      <c r="K41" s="17">
        <f t="shared" si="2"/>
        <v>1</v>
      </c>
      <c r="L41" s="17">
        <f>ROUNDUP(25/7,0)</f>
        <v>4</v>
      </c>
    </row>
    <row r="42" spans="1:12" x14ac:dyDescent="0.4">
      <c r="A42" s="5">
        <v>26</v>
      </c>
      <c r="B42" s="16">
        <v>0</v>
      </c>
      <c r="C42" s="16">
        <v>0</v>
      </c>
      <c r="D42" s="16">
        <v>0</v>
      </c>
      <c r="E42" s="10">
        <f>B42*Params!$C$5+C42*Params!$C$6+D42*Params!$C$7</f>
        <v>0</v>
      </c>
      <c r="F42" s="10">
        <f t="shared" si="0"/>
        <v>12.714285714285714</v>
      </c>
      <c r="G42" s="10">
        <f>IF(F42&lt;=0,Params!$C$9,MIN(Params!$C$9,MAX(Params!$C$8,E42/F42)))</f>
        <v>0.8</v>
      </c>
      <c r="H42" s="10">
        <f>Params!$C$12</f>
        <v>0.85</v>
      </c>
      <c r="I42" s="10">
        <f t="shared" si="1"/>
        <v>0</v>
      </c>
      <c r="J42" s="10">
        <f>MIN(Params!$C$15,IF(I42&lt;=Params!$C$13,I42,Params!$C$13+(I42-Params!$C$13)*Params!$C$14))</f>
        <v>0</v>
      </c>
      <c r="K42" s="17">
        <f t="shared" si="2"/>
        <v>0</v>
      </c>
      <c r="L42" s="17">
        <f>ROUNDUP(26/7,0)</f>
        <v>4</v>
      </c>
    </row>
    <row r="43" spans="1:12" x14ac:dyDescent="0.4">
      <c r="A43" s="5">
        <v>27</v>
      </c>
      <c r="B43" s="16">
        <v>35</v>
      </c>
      <c r="C43" s="16">
        <v>0</v>
      </c>
      <c r="D43" s="16">
        <v>0</v>
      </c>
      <c r="E43" s="10">
        <f>B43*Params!$C$5+C43*Params!$C$6+D43*Params!$C$7</f>
        <v>35</v>
      </c>
      <c r="F43" s="10">
        <f t="shared" si="0"/>
        <v>12.714285714285714</v>
      </c>
      <c r="G43" s="10">
        <f>IF(F43&lt;=0,Params!$C$9,MIN(Params!$C$9,MAX(Params!$C$8,E43/F43)))</f>
        <v>1.5</v>
      </c>
      <c r="H43" s="10">
        <f>Params!$C$12</f>
        <v>0.85</v>
      </c>
      <c r="I43" s="10">
        <f t="shared" si="1"/>
        <v>44.625</v>
      </c>
      <c r="J43" s="10">
        <f>MIN(Params!$C$15,IF(I43&lt;=Params!$C$13,I43,Params!$C$13+(I43-Params!$C$13)*Params!$C$14))</f>
        <v>44.625</v>
      </c>
      <c r="K43" s="17">
        <f t="shared" si="2"/>
        <v>1</v>
      </c>
      <c r="L43" s="17">
        <f>ROUNDUP(27/7,0)</f>
        <v>4</v>
      </c>
    </row>
    <row r="44" spans="1:12" x14ac:dyDescent="0.4">
      <c r="A44" s="5">
        <v>28</v>
      </c>
      <c r="B44" s="16">
        <v>0</v>
      </c>
      <c r="C44" s="16">
        <v>0</v>
      </c>
      <c r="D44" s="16">
        <v>0</v>
      </c>
      <c r="E44" s="10">
        <f>B44*Params!$C$5+C44*Params!$C$6+D44*Params!$C$7</f>
        <v>0</v>
      </c>
      <c r="F44" s="10">
        <f t="shared" si="0"/>
        <v>13.071428571428571</v>
      </c>
      <c r="G44" s="10">
        <f>IF(F44&lt;=0,Params!$C$9,MIN(Params!$C$9,MAX(Params!$C$8,E44/F44)))</f>
        <v>0.8</v>
      </c>
      <c r="H44" s="10">
        <f>Params!$C$12</f>
        <v>0.85</v>
      </c>
      <c r="I44" s="10">
        <f t="shared" si="1"/>
        <v>0</v>
      </c>
      <c r="J44" s="10">
        <f>MIN(Params!$C$15,IF(I44&lt;=Params!$C$13,I44,Params!$C$13+(I44-Params!$C$13)*Params!$C$14))</f>
        <v>0</v>
      </c>
      <c r="K44" s="17">
        <f t="shared" si="2"/>
        <v>0</v>
      </c>
      <c r="L44" s="17">
        <f>ROUNDUP(28/7,0)</f>
        <v>4</v>
      </c>
    </row>
    <row r="46" spans="1:12" x14ac:dyDescent="0.4">
      <c r="A46" s="8" t="s">
        <v>87</v>
      </c>
    </row>
    <row r="47" spans="1:12" x14ac:dyDescent="0.4">
      <c r="A47" s="3" t="s">
        <v>88</v>
      </c>
      <c r="B47" s="3" t="s">
        <v>89</v>
      </c>
      <c r="C47" s="3" t="s">
        <v>90</v>
      </c>
      <c r="D47" s="3" t="s">
        <v>91</v>
      </c>
      <c r="E47" s="3" t="s">
        <v>92</v>
      </c>
      <c r="F47" s="3" t="s">
        <v>93</v>
      </c>
      <c r="G47" s="3" t="s">
        <v>94</v>
      </c>
      <c r="H47" s="3" t="s">
        <v>95</v>
      </c>
    </row>
    <row r="48" spans="1:12" x14ac:dyDescent="0.4">
      <c r="A48" s="5">
        <v>1</v>
      </c>
      <c r="B48" s="5">
        <f>SUMIFS(K17:K44,L17:L44,1)</f>
        <v>3</v>
      </c>
      <c r="C48" s="5">
        <f>7-B48</f>
        <v>4</v>
      </c>
      <c r="D48" s="5">
        <f>IF(AND(B48&gt;=Params!$C$16,C48&gt;=Params!$C$17),1+Params!$C$18,1)</f>
        <v>1</v>
      </c>
      <c r="E48" s="5">
        <f>SUMIFS(J17:J44,L17:L44,1)</f>
        <v>114.75</v>
      </c>
      <c r="F48" s="5">
        <f>E48*D48</f>
        <v>114.75</v>
      </c>
      <c r="G48" s="5">
        <f>F48</f>
        <v>114.75</v>
      </c>
      <c r="H48" s="5">
        <f>(G48/Params!$C$19)^(1/Params!$C$20)</f>
        <v>1.0960620208611336</v>
      </c>
    </row>
    <row r="49" spans="1:8" x14ac:dyDescent="0.4">
      <c r="A49" s="5">
        <v>2</v>
      </c>
      <c r="B49" s="5">
        <f>SUMIFS(K17:K44,L17:L44,2)</f>
        <v>3</v>
      </c>
      <c r="C49" s="5">
        <f>7-B49</f>
        <v>4</v>
      </c>
      <c r="D49" s="5">
        <f>IF(AND(B49&gt;=Params!$C$16,C49&gt;=Params!$C$17),1+Params!$C$18,1)</f>
        <v>1</v>
      </c>
      <c r="E49" s="5">
        <f>SUMIFS(J17:J44,L17:L44,2)</f>
        <v>117.3</v>
      </c>
      <c r="F49" s="5">
        <f>E49*D49</f>
        <v>117.3</v>
      </c>
      <c r="G49" s="5">
        <f>G48+F49</f>
        <v>232.05</v>
      </c>
      <c r="H49" s="5">
        <f>(G49/Params!$C$19)^(1/Params!$C$20)</f>
        <v>1.752754329346554</v>
      </c>
    </row>
    <row r="50" spans="1:8" x14ac:dyDescent="0.4">
      <c r="A50" s="5">
        <v>3</v>
      </c>
      <c r="B50" s="5">
        <f>SUMIFS(K17:K44,L17:L44,3)</f>
        <v>3</v>
      </c>
      <c r="C50" s="5">
        <f>7-B50</f>
        <v>4</v>
      </c>
      <c r="D50" s="5">
        <f>IF(AND(B50&gt;=Params!$C$16,C50&gt;=Params!$C$17),1+Params!$C$18,1)</f>
        <v>1</v>
      </c>
      <c r="E50" s="5">
        <f>SUMIFS(J17:J44,L17:L44,3)</f>
        <v>112.19999999999999</v>
      </c>
      <c r="F50" s="5">
        <f>E50*D50</f>
        <v>112.19999999999999</v>
      </c>
      <c r="G50" s="5">
        <f>G49+F50</f>
        <v>344.25</v>
      </c>
      <c r="H50" s="5">
        <f>(G50/Params!$C$19)^(1/Params!$C$20)</f>
        <v>2.2799008786548227</v>
      </c>
    </row>
    <row r="51" spans="1:8" x14ac:dyDescent="0.4">
      <c r="A51" s="5">
        <v>4</v>
      </c>
      <c r="B51" s="5">
        <f>SUMIFS(K17:K44,L17:L44,4)</f>
        <v>3</v>
      </c>
      <c r="C51" s="5">
        <f>7-B51</f>
        <v>4</v>
      </c>
      <c r="D51" s="5">
        <f>IF(AND(B51&gt;=Params!$C$16,C51&gt;=Params!$C$17),1+Params!$C$18,1)</f>
        <v>1</v>
      </c>
      <c r="E51" s="5">
        <f>SUMIFS(J17:J44,L17:L44,4)</f>
        <v>121.125</v>
      </c>
      <c r="F51" s="5">
        <f>E51*D51</f>
        <v>121.125</v>
      </c>
      <c r="G51" s="5">
        <f>G50+F51</f>
        <v>465.375</v>
      </c>
      <c r="H51" s="5">
        <f>(G51/Params!$C$19)^(1/Params!$C$20)</f>
        <v>2.7874175674578114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1"/>
  <sheetViews>
    <sheetView workbookViewId="0">
      <pane ySplit="16" topLeftCell="A17" activePane="bottomLeft" state="frozen"/>
      <selection pane="bottomLeft"/>
    </sheetView>
  </sheetViews>
  <sheetFormatPr defaultRowHeight="17.399999999999999" x14ac:dyDescent="0.4"/>
  <cols>
    <col min="1" max="4" width="9" customWidth="1"/>
    <col min="5" max="5" width="11" customWidth="1"/>
    <col min="6" max="8" width="10" customWidth="1"/>
    <col min="9" max="10" width="9" customWidth="1"/>
    <col min="11" max="12" width="7" customWidth="1"/>
  </cols>
  <sheetData>
    <row r="1" spans="1:12" ht="18" customHeight="1" x14ac:dyDescent="0.4">
      <c r="A1" s="1" t="s">
        <v>97</v>
      </c>
    </row>
    <row r="2" spans="1:12" x14ac:dyDescent="0.4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  <c r="L2" s="3" t="s">
        <v>72</v>
      </c>
    </row>
    <row r="3" spans="1:12" x14ac:dyDescent="0.4">
      <c r="A3" s="13" t="s">
        <v>73</v>
      </c>
      <c r="B3" s="14"/>
      <c r="C3" s="14"/>
      <c r="D3" s="14"/>
      <c r="E3" s="15">
        <v>51.07</v>
      </c>
      <c r="F3" s="14"/>
      <c r="G3" s="14"/>
      <c r="H3" s="14"/>
      <c r="I3" s="14"/>
      <c r="J3" s="14"/>
      <c r="K3" s="14"/>
      <c r="L3" s="14"/>
    </row>
    <row r="4" spans="1:12" x14ac:dyDescent="0.4">
      <c r="A4" s="13" t="s">
        <v>74</v>
      </c>
      <c r="B4" s="14"/>
      <c r="C4" s="14"/>
      <c r="D4" s="14"/>
      <c r="E4" s="15">
        <v>51.07</v>
      </c>
      <c r="F4" s="14"/>
      <c r="G4" s="14"/>
      <c r="H4" s="14"/>
      <c r="I4" s="14"/>
      <c r="J4" s="14"/>
      <c r="K4" s="14"/>
      <c r="L4" s="14"/>
    </row>
    <row r="5" spans="1:12" x14ac:dyDescent="0.4">
      <c r="A5" s="13" t="s">
        <v>75</v>
      </c>
      <c r="B5" s="14"/>
      <c r="C5" s="14"/>
      <c r="D5" s="14"/>
      <c r="E5" s="15">
        <v>51.07</v>
      </c>
      <c r="F5" s="14"/>
      <c r="G5" s="14"/>
      <c r="H5" s="14"/>
      <c r="I5" s="14"/>
      <c r="J5" s="14"/>
      <c r="K5" s="14"/>
      <c r="L5" s="14"/>
    </row>
    <row r="6" spans="1:12" x14ac:dyDescent="0.4">
      <c r="A6" s="13" t="s">
        <v>76</v>
      </c>
      <c r="B6" s="14"/>
      <c r="C6" s="14"/>
      <c r="D6" s="14"/>
      <c r="E6" s="15">
        <v>51.07</v>
      </c>
      <c r="F6" s="14"/>
      <c r="G6" s="14"/>
      <c r="H6" s="14"/>
      <c r="I6" s="14"/>
      <c r="J6" s="14"/>
      <c r="K6" s="14"/>
      <c r="L6" s="14"/>
    </row>
    <row r="7" spans="1:12" x14ac:dyDescent="0.4">
      <c r="A7" s="13" t="s">
        <v>77</v>
      </c>
      <c r="B7" s="14"/>
      <c r="C7" s="14"/>
      <c r="D7" s="14"/>
      <c r="E7" s="15">
        <v>51.07</v>
      </c>
      <c r="F7" s="14"/>
      <c r="G7" s="14"/>
      <c r="H7" s="14"/>
      <c r="I7" s="14"/>
      <c r="J7" s="14"/>
      <c r="K7" s="14"/>
      <c r="L7" s="14"/>
    </row>
    <row r="8" spans="1:12" x14ac:dyDescent="0.4">
      <c r="A8" s="13" t="s">
        <v>78</v>
      </c>
      <c r="B8" s="14"/>
      <c r="C8" s="14"/>
      <c r="D8" s="14"/>
      <c r="E8" s="15">
        <v>51.07</v>
      </c>
      <c r="F8" s="14"/>
      <c r="G8" s="14"/>
      <c r="H8" s="14"/>
      <c r="I8" s="14"/>
      <c r="J8" s="14"/>
      <c r="K8" s="14"/>
      <c r="L8" s="14"/>
    </row>
    <row r="9" spans="1:12" x14ac:dyDescent="0.4">
      <c r="A9" s="13" t="s">
        <v>79</v>
      </c>
      <c r="B9" s="14"/>
      <c r="C9" s="14"/>
      <c r="D9" s="14"/>
      <c r="E9" s="15">
        <v>51.07</v>
      </c>
      <c r="F9" s="14"/>
      <c r="G9" s="14"/>
      <c r="H9" s="14"/>
      <c r="I9" s="14"/>
      <c r="J9" s="14"/>
      <c r="K9" s="14"/>
      <c r="L9" s="14"/>
    </row>
    <row r="10" spans="1:12" x14ac:dyDescent="0.4">
      <c r="A10" s="13" t="s">
        <v>80</v>
      </c>
      <c r="B10" s="14"/>
      <c r="C10" s="14"/>
      <c r="D10" s="14"/>
      <c r="E10" s="15">
        <v>51.07</v>
      </c>
      <c r="F10" s="14"/>
      <c r="G10" s="14"/>
      <c r="H10" s="14"/>
      <c r="I10" s="14"/>
      <c r="J10" s="14"/>
      <c r="K10" s="14"/>
      <c r="L10" s="14"/>
    </row>
    <row r="11" spans="1:12" x14ac:dyDescent="0.4">
      <c r="A11" s="13" t="s">
        <v>81</v>
      </c>
      <c r="B11" s="14"/>
      <c r="C11" s="14"/>
      <c r="D11" s="14"/>
      <c r="E11" s="15">
        <v>51.07</v>
      </c>
      <c r="F11" s="14"/>
      <c r="G11" s="14"/>
      <c r="H11" s="14"/>
      <c r="I11" s="14"/>
      <c r="J11" s="14"/>
      <c r="K11" s="14"/>
      <c r="L11" s="14"/>
    </row>
    <row r="12" spans="1:12" x14ac:dyDescent="0.4">
      <c r="A12" s="13" t="s">
        <v>82</v>
      </c>
      <c r="B12" s="14"/>
      <c r="C12" s="14"/>
      <c r="D12" s="14"/>
      <c r="E12" s="15">
        <v>51.07</v>
      </c>
      <c r="F12" s="14"/>
      <c r="G12" s="14"/>
      <c r="H12" s="14"/>
      <c r="I12" s="14"/>
      <c r="J12" s="14"/>
      <c r="K12" s="14"/>
      <c r="L12" s="14"/>
    </row>
    <row r="13" spans="1:12" x14ac:dyDescent="0.4">
      <c r="A13" s="13" t="s">
        <v>83</v>
      </c>
      <c r="B13" s="14"/>
      <c r="C13" s="14"/>
      <c r="D13" s="14"/>
      <c r="E13" s="15">
        <v>51.07</v>
      </c>
      <c r="F13" s="14"/>
      <c r="G13" s="14"/>
      <c r="H13" s="14"/>
      <c r="I13" s="14"/>
      <c r="J13" s="14"/>
      <c r="K13" s="14"/>
      <c r="L13" s="14"/>
    </row>
    <row r="14" spans="1:12" x14ac:dyDescent="0.4">
      <c r="A14" s="13" t="s">
        <v>84</v>
      </c>
      <c r="B14" s="14"/>
      <c r="C14" s="14"/>
      <c r="D14" s="14"/>
      <c r="E14" s="15">
        <v>51.07</v>
      </c>
      <c r="F14" s="14"/>
      <c r="G14" s="14"/>
      <c r="H14" s="14"/>
      <c r="I14" s="14"/>
      <c r="J14" s="14"/>
      <c r="K14" s="14"/>
      <c r="L14" s="14"/>
    </row>
    <row r="15" spans="1:12" x14ac:dyDescent="0.4">
      <c r="A15" s="13" t="s">
        <v>85</v>
      </c>
      <c r="B15" s="14"/>
      <c r="C15" s="14"/>
      <c r="D15" s="14"/>
      <c r="E15" s="15">
        <v>51.07</v>
      </c>
      <c r="F15" s="14"/>
      <c r="G15" s="14"/>
      <c r="H15" s="14"/>
      <c r="I15" s="14"/>
      <c r="J15" s="14"/>
      <c r="K15" s="14"/>
      <c r="L15" s="14"/>
    </row>
    <row r="16" spans="1:12" x14ac:dyDescent="0.4">
      <c r="A16" s="13" t="s">
        <v>86</v>
      </c>
      <c r="B16" s="14"/>
      <c r="C16" s="14"/>
      <c r="D16" s="14"/>
      <c r="E16" s="15">
        <v>51.07</v>
      </c>
      <c r="F16" s="14"/>
      <c r="G16" s="14"/>
      <c r="H16" s="14"/>
      <c r="I16" s="14"/>
      <c r="J16" s="14"/>
      <c r="K16" s="14"/>
      <c r="L16" s="14"/>
    </row>
    <row r="17" spans="1:12" x14ac:dyDescent="0.4">
      <c r="A17" s="5">
        <v>1</v>
      </c>
      <c r="B17" s="16">
        <v>0</v>
      </c>
      <c r="C17" s="16">
        <v>35</v>
      </c>
      <c r="D17" s="16">
        <v>0</v>
      </c>
      <c r="E17" s="10">
        <f>B17*Params!$C$5+C17*Params!$C$6+D17*Params!$C$7</f>
        <v>70</v>
      </c>
      <c r="F17" s="10">
        <f t="shared" ref="F17:F44" si="0">AVERAGE(E3:E16)</f>
        <v>51.070000000000007</v>
      </c>
      <c r="G17" s="10">
        <f>IF(F17&lt;=0,Params!$C$9,MIN(Params!$C$9,MAX(Params!$C$8,E17/F17)))</f>
        <v>1.3706677109849223</v>
      </c>
      <c r="H17" s="10">
        <f>Params!$C$11</f>
        <v>1</v>
      </c>
      <c r="I17" s="10">
        <f t="shared" ref="I17:I44" si="1">E17*G17*H17</f>
        <v>95.946739768944568</v>
      </c>
      <c r="J17" s="10">
        <f>MIN(Params!$C$15,IF(I17&lt;=Params!$C$13,I17,Params!$C$13+(I17-Params!$C$13)*Params!$C$14))</f>
        <v>95.946739768944568</v>
      </c>
      <c r="K17" s="17">
        <f t="shared" ref="K17:K44" si="2">IF(E17&gt;0,1,0)</f>
        <v>1</v>
      </c>
      <c r="L17" s="17">
        <f>ROUNDUP(1/7,0)</f>
        <v>1</v>
      </c>
    </row>
    <row r="18" spans="1:12" x14ac:dyDescent="0.4">
      <c r="A18" s="5">
        <v>2</v>
      </c>
      <c r="B18" s="16">
        <v>0</v>
      </c>
      <c r="C18" s="16">
        <v>0</v>
      </c>
      <c r="D18" s="16">
        <v>0</v>
      </c>
      <c r="E18" s="10">
        <f>B18*Params!$C$5+C18*Params!$C$6+D18*Params!$C$7</f>
        <v>0</v>
      </c>
      <c r="F18" s="10">
        <f t="shared" si="0"/>
        <v>52.422142857142866</v>
      </c>
      <c r="G18" s="10">
        <f>IF(F18&lt;=0,Params!$C$9,MIN(Params!$C$9,MAX(Params!$C$8,E18/F18)))</f>
        <v>0.8</v>
      </c>
      <c r="H18" s="10">
        <f>Params!$C$11</f>
        <v>1</v>
      </c>
      <c r="I18" s="10">
        <f t="shared" si="1"/>
        <v>0</v>
      </c>
      <c r="J18" s="10">
        <f>MIN(Params!$C$15,IF(I18&lt;=Params!$C$13,I18,Params!$C$13+(I18-Params!$C$13)*Params!$C$14))</f>
        <v>0</v>
      </c>
      <c r="K18" s="17">
        <f t="shared" si="2"/>
        <v>0</v>
      </c>
      <c r="L18" s="17">
        <f>ROUNDUP(2/7,0)</f>
        <v>1</v>
      </c>
    </row>
    <row r="19" spans="1:12" x14ac:dyDescent="0.4">
      <c r="A19" s="5">
        <v>3</v>
      </c>
      <c r="B19" s="16">
        <v>0</v>
      </c>
      <c r="C19" s="16">
        <v>35</v>
      </c>
      <c r="D19" s="16">
        <v>0</v>
      </c>
      <c r="E19" s="10">
        <f>B19*Params!$C$5+C19*Params!$C$6+D19*Params!$C$7</f>
        <v>70</v>
      </c>
      <c r="F19" s="10">
        <f t="shared" si="0"/>
        <v>48.774285714285718</v>
      </c>
      <c r="G19" s="10">
        <f>IF(F19&lt;=0,Params!$C$9,MIN(Params!$C$9,MAX(Params!$C$8,E19/F19)))</f>
        <v>1.4351824732001639</v>
      </c>
      <c r="H19" s="10">
        <f>Params!$C$11</f>
        <v>1</v>
      </c>
      <c r="I19" s="10">
        <f t="shared" si="1"/>
        <v>100.46277312401148</v>
      </c>
      <c r="J19" s="10">
        <f>MIN(Params!$C$15,IF(I19&lt;=Params!$C$13,I19,Params!$C$13+(I19-Params!$C$13)*Params!$C$14))</f>
        <v>100.46277312401148</v>
      </c>
      <c r="K19" s="17">
        <f t="shared" si="2"/>
        <v>1</v>
      </c>
      <c r="L19" s="17">
        <f>ROUNDUP(3/7,0)</f>
        <v>1</v>
      </c>
    </row>
    <row r="20" spans="1:12" x14ac:dyDescent="0.4">
      <c r="A20" s="5">
        <v>4</v>
      </c>
      <c r="B20" s="16">
        <v>0</v>
      </c>
      <c r="C20" s="16">
        <v>30</v>
      </c>
      <c r="D20" s="16">
        <v>0</v>
      </c>
      <c r="E20" s="10">
        <f>B20*Params!$C$5+C20*Params!$C$6+D20*Params!$C$7</f>
        <v>60</v>
      </c>
      <c r="F20" s="10">
        <f t="shared" si="0"/>
        <v>50.126428571428569</v>
      </c>
      <c r="G20" s="10">
        <f>IF(F20&lt;=0,Params!$C$9,MIN(Params!$C$9,MAX(Params!$C$8,E20/F20)))</f>
        <v>1.1969733673425766</v>
      </c>
      <c r="H20" s="10">
        <f>Params!$C$11</f>
        <v>1</v>
      </c>
      <c r="I20" s="10">
        <f t="shared" si="1"/>
        <v>71.818402040554602</v>
      </c>
      <c r="J20" s="10">
        <f>MIN(Params!$C$15,IF(I20&lt;=Params!$C$13,I20,Params!$C$13+(I20-Params!$C$13)*Params!$C$14))</f>
        <v>71.818402040554602</v>
      </c>
      <c r="K20" s="17">
        <f t="shared" si="2"/>
        <v>1</v>
      </c>
      <c r="L20" s="17">
        <f>ROUNDUP(4/7,0)</f>
        <v>1</v>
      </c>
    </row>
    <row r="21" spans="1:12" x14ac:dyDescent="0.4">
      <c r="A21" s="5">
        <v>5</v>
      </c>
      <c r="B21" s="16">
        <v>0</v>
      </c>
      <c r="C21" s="16">
        <v>40</v>
      </c>
      <c r="D21" s="16">
        <v>0</v>
      </c>
      <c r="E21" s="10">
        <f>B21*Params!$C$5+C21*Params!$C$6+D21*Params!$C$7</f>
        <v>80</v>
      </c>
      <c r="F21" s="10">
        <f t="shared" si="0"/>
        <v>50.76428571428572</v>
      </c>
      <c r="G21" s="10">
        <f>IF(F21&lt;=0,Params!$C$9,MIN(Params!$C$9,MAX(Params!$C$8,E21/F21)))</f>
        <v>1.5</v>
      </c>
      <c r="H21" s="10">
        <f>Params!$C$11</f>
        <v>1</v>
      </c>
      <c r="I21" s="10">
        <f t="shared" si="1"/>
        <v>120</v>
      </c>
      <c r="J21" s="10">
        <f>MIN(Params!$C$15,IF(I21&lt;=Params!$C$13,I21,Params!$C$13+(I21-Params!$C$13)*Params!$C$14))</f>
        <v>120</v>
      </c>
      <c r="K21" s="17">
        <f t="shared" si="2"/>
        <v>1</v>
      </c>
      <c r="L21" s="17">
        <f>ROUNDUP(5/7,0)</f>
        <v>1</v>
      </c>
    </row>
    <row r="22" spans="1:12" x14ac:dyDescent="0.4">
      <c r="A22" s="5">
        <v>6</v>
      </c>
      <c r="B22" s="16">
        <v>0</v>
      </c>
      <c r="C22" s="16">
        <v>0</v>
      </c>
      <c r="D22" s="16">
        <v>0</v>
      </c>
      <c r="E22" s="10">
        <f>B22*Params!$C$5+C22*Params!$C$6+D22*Params!$C$7</f>
        <v>0</v>
      </c>
      <c r="F22" s="10">
        <f t="shared" si="0"/>
        <v>52.830714285714286</v>
      </c>
      <c r="G22" s="10">
        <f>IF(F22&lt;=0,Params!$C$9,MIN(Params!$C$9,MAX(Params!$C$8,E22/F22)))</f>
        <v>0.8</v>
      </c>
      <c r="H22" s="10">
        <f>Params!$C$11</f>
        <v>1</v>
      </c>
      <c r="I22" s="10">
        <f t="shared" si="1"/>
        <v>0</v>
      </c>
      <c r="J22" s="10">
        <f>MIN(Params!$C$15,IF(I22&lt;=Params!$C$13,I22,Params!$C$13+(I22-Params!$C$13)*Params!$C$14))</f>
        <v>0</v>
      </c>
      <c r="K22" s="17">
        <f t="shared" si="2"/>
        <v>0</v>
      </c>
      <c r="L22" s="17">
        <f>ROUNDUP(6/7,0)</f>
        <v>1</v>
      </c>
    </row>
    <row r="23" spans="1:12" x14ac:dyDescent="0.4">
      <c r="A23" s="5">
        <v>7</v>
      </c>
      <c r="B23" s="16">
        <v>0</v>
      </c>
      <c r="C23" s="16">
        <v>35</v>
      </c>
      <c r="D23" s="16">
        <v>0</v>
      </c>
      <c r="E23" s="10">
        <f>B23*Params!$C$5+C23*Params!$C$6+D23*Params!$C$7</f>
        <v>70</v>
      </c>
      <c r="F23" s="10">
        <f t="shared" si="0"/>
        <v>49.182857142857138</v>
      </c>
      <c r="G23" s="10">
        <f>IF(F23&lt;=0,Params!$C$9,MIN(Params!$C$9,MAX(Params!$C$8,E23/F23)))</f>
        <v>1.4232601370977114</v>
      </c>
      <c r="H23" s="10">
        <f>Params!$C$11</f>
        <v>1</v>
      </c>
      <c r="I23" s="10">
        <f t="shared" si="1"/>
        <v>99.628209596839795</v>
      </c>
      <c r="J23" s="10">
        <f>MIN(Params!$C$15,IF(I23&lt;=Params!$C$13,I23,Params!$C$13+(I23-Params!$C$13)*Params!$C$14))</f>
        <v>99.628209596839795</v>
      </c>
      <c r="K23" s="17">
        <f t="shared" si="2"/>
        <v>1</v>
      </c>
      <c r="L23" s="17">
        <f>ROUNDUP(7/7,0)</f>
        <v>1</v>
      </c>
    </row>
    <row r="24" spans="1:12" x14ac:dyDescent="0.4">
      <c r="A24" s="5">
        <v>8</v>
      </c>
      <c r="B24" s="16">
        <v>0</v>
      </c>
      <c r="C24" s="16">
        <v>38</v>
      </c>
      <c r="D24" s="16">
        <v>0</v>
      </c>
      <c r="E24" s="10">
        <f>B24*Params!$C$5+C24*Params!$C$6+D24*Params!$C$7</f>
        <v>76</v>
      </c>
      <c r="F24" s="10">
        <f t="shared" si="0"/>
        <v>50.535000000000004</v>
      </c>
      <c r="G24" s="10">
        <f>IF(F24&lt;=0,Params!$C$9,MIN(Params!$C$9,MAX(Params!$C$8,E24/F24)))</f>
        <v>1.5</v>
      </c>
      <c r="H24" s="10">
        <f>Params!$C$11</f>
        <v>1</v>
      </c>
      <c r="I24" s="10">
        <f t="shared" si="1"/>
        <v>114</v>
      </c>
      <c r="J24" s="10">
        <f>MIN(Params!$C$15,IF(I24&lt;=Params!$C$13,I24,Params!$C$13+(I24-Params!$C$13)*Params!$C$14))</f>
        <v>114</v>
      </c>
      <c r="K24" s="17">
        <f t="shared" si="2"/>
        <v>1</v>
      </c>
      <c r="L24" s="17">
        <f>ROUNDUP(8/7,0)</f>
        <v>2</v>
      </c>
    </row>
    <row r="25" spans="1:12" x14ac:dyDescent="0.4">
      <c r="A25" s="5">
        <v>9</v>
      </c>
      <c r="B25" s="16">
        <v>0</v>
      </c>
      <c r="C25" s="16">
        <v>0</v>
      </c>
      <c r="D25" s="16">
        <v>0</v>
      </c>
      <c r="E25" s="10">
        <f>B25*Params!$C$5+C25*Params!$C$6+D25*Params!$C$7</f>
        <v>0</v>
      </c>
      <c r="F25" s="10">
        <f t="shared" si="0"/>
        <v>52.315714285714293</v>
      </c>
      <c r="G25" s="10">
        <f>IF(F25&lt;=0,Params!$C$9,MIN(Params!$C$9,MAX(Params!$C$8,E25/F25)))</f>
        <v>0.8</v>
      </c>
      <c r="H25" s="10">
        <f>Params!$C$11</f>
        <v>1</v>
      </c>
      <c r="I25" s="10">
        <f t="shared" si="1"/>
        <v>0</v>
      </c>
      <c r="J25" s="10">
        <f>MIN(Params!$C$15,IF(I25&lt;=Params!$C$13,I25,Params!$C$13+(I25-Params!$C$13)*Params!$C$14))</f>
        <v>0</v>
      </c>
      <c r="K25" s="17">
        <f t="shared" si="2"/>
        <v>0</v>
      </c>
      <c r="L25" s="17">
        <f>ROUNDUP(9/7,0)</f>
        <v>2</v>
      </c>
    </row>
    <row r="26" spans="1:12" x14ac:dyDescent="0.4">
      <c r="A26" s="5">
        <v>10</v>
      </c>
      <c r="B26" s="16">
        <v>0</v>
      </c>
      <c r="C26" s="16">
        <v>32</v>
      </c>
      <c r="D26" s="16">
        <v>0</v>
      </c>
      <c r="E26" s="10">
        <f>B26*Params!$C$5+C26*Params!$C$6+D26*Params!$C$7</f>
        <v>64</v>
      </c>
      <c r="F26" s="10">
        <f t="shared" si="0"/>
        <v>48.667857142857144</v>
      </c>
      <c r="G26" s="10">
        <f>IF(F26&lt;=0,Params!$C$9,MIN(Params!$C$9,MAX(Params!$C$8,E26/F26)))</f>
        <v>1.3150363249431276</v>
      </c>
      <c r="H26" s="10">
        <f>Params!$C$11</f>
        <v>1</v>
      </c>
      <c r="I26" s="10">
        <f t="shared" si="1"/>
        <v>84.162324796360167</v>
      </c>
      <c r="J26" s="10">
        <f>MIN(Params!$C$15,IF(I26&lt;=Params!$C$13,I26,Params!$C$13+(I26-Params!$C$13)*Params!$C$14))</f>
        <v>84.162324796360167</v>
      </c>
      <c r="K26" s="17">
        <f t="shared" si="2"/>
        <v>1</v>
      </c>
      <c r="L26" s="17">
        <f>ROUNDUP(10/7,0)</f>
        <v>2</v>
      </c>
    </row>
    <row r="27" spans="1:12" x14ac:dyDescent="0.4">
      <c r="A27" s="5">
        <v>11</v>
      </c>
      <c r="B27" s="16">
        <v>0</v>
      </c>
      <c r="C27" s="16">
        <v>35</v>
      </c>
      <c r="D27" s="16">
        <v>0</v>
      </c>
      <c r="E27" s="10">
        <f>B27*Params!$C$5+C27*Params!$C$6+D27*Params!$C$7</f>
        <v>70</v>
      </c>
      <c r="F27" s="10">
        <f t="shared" si="0"/>
        <v>49.591428571428573</v>
      </c>
      <c r="G27" s="10">
        <f>IF(F27&lt;=0,Params!$C$9,MIN(Params!$C$9,MAX(Params!$C$8,E27/F27)))</f>
        <v>1.4115342513107103</v>
      </c>
      <c r="H27" s="10">
        <f>Params!$C$11</f>
        <v>1</v>
      </c>
      <c r="I27" s="10">
        <f t="shared" si="1"/>
        <v>98.807397591749719</v>
      </c>
      <c r="J27" s="10">
        <f>MIN(Params!$C$15,IF(I27&lt;=Params!$C$13,I27,Params!$C$13+(I27-Params!$C$13)*Params!$C$14))</f>
        <v>98.807397591749719</v>
      </c>
      <c r="K27" s="17">
        <f t="shared" si="2"/>
        <v>1</v>
      </c>
      <c r="L27" s="17">
        <f>ROUNDUP(11/7,0)</f>
        <v>2</v>
      </c>
    </row>
    <row r="28" spans="1:12" x14ac:dyDescent="0.4">
      <c r="A28" s="5">
        <v>12</v>
      </c>
      <c r="B28" s="16">
        <v>0</v>
      </c>
      <c r="C28" s="16">
        <v>40</v>
      </c>
      <c r="D28" s="16">
        <v>0</v>
      </c>
      <c r="E28" s="10">
        <f>B28*Params!$C$5+C28*Params!$C$6+D28*Params!$C$7</f>
        <v>80</v>
      </c>
      <c r="F28" s="10">
        <f t="shared" si="0"/>
        <v>50.943571428571431</v>
      </c>
      <c r="G28" s="10">
        <f>IF(F28&lt;=0,Params!$C$9,MIN(Params!$C$9,MAX(Params!$C$8,E28/F28)))</f>
        <v>1.5</v>
      </c>
      <c r="H28" s="10">
        <f>Params!$C$11</f>
        <v>1</v>
      </c>
      <c r="I28" s="10">
        <f t="shared" si="1"/>
        <v>120</v>
      </c>
      <c r="J28" s="10">
        <f>MIN(Params!$C$15,IF(I28&lt;=Params!$C$13,I28,Params!$C$13+(I28-Params!$C$13)*Params!$C$14))</f>
        <v>120</v>
      </c>
      <c r="K28" s="17">
        <f t="shared" si="2"/>
        <v>1</v>
      </c>
      <c r="L28" s="17">
        <f>ROUNDUP(12/7,0)</f>
        <v>2</v>
      </c>
    </row>
    <row r="29" spans="1:12" x14ac:dyDescent="0.4">
      <c r="A29" s="5">
        <v>13</v>
      </c>
      <c r="B29" s="16">
        <v>0</v>
      </c>
      <c r="C29" s="16">
        <v>0</v>
      </c>
      <c r="D29" s="16">
        <v>0</v>
      </c>
      <c r="E29" s="10">
        <f>B29*Params!$C$5+C29*Params!$C$6+D29*Params!$C$7</f>
        <v>0</v>
      </c>
      <c r="F29" s="10">
        <f t="shared" si="0"/>
        <v>53.01</v>
      </c>
      <c r="G29" s="10">
        <f>IF(F29&lt;=0,Params!$C$9,MIN(Params!$C$9,MAX(Params!$C$8,E29/F29)))</f>
        <v>0.8</v>
      </c>
      <c r="H29" s="10">
        <f>Params!$C$11</f>
        <v>1</v>
      </c>
      <c r="I29" s="10">
        <f t="shared" si="1"/>
        <v>0</v>
      </c>
      <c r="J29" s="10">
        <f>MIN(Params!$C$15,IF(I29&lt;=Params!$C$13,I29,Params!$C$13+(I29-Params!$C$13)*Params!$C$14))</f>
        <v>0</v>
      </c>
      <c r="K29" s="17">
        <f t="shared" si="2"/>
        <v>0</v>
      </c>
      <c r="L29" s="17">
        <f>ROUNDUP(13/7,0)</f>
        <v>2</v>
      </c>
    </row>
    <row r="30" spans="1:12" x14ac:dyDescent="0.4">
      <c r="A30" s="5">
        <v>14</v>
      </c>
      <c r="B30" s="16">
        <v>0</v>
      </c>
      <c r="C30" s="16">
        <v>33</v>
      </c>
      <c r="D30" s="16">
        <v>0</v>
      </c>
      <c r="E30" s="10">
        <f>B30*Params!$C$5+C30*Params!$C$6+D30*Params!$C$7</f>
        <v>66</v>
      </c>
      <c r="F30" s="10">
        <f t="shared" si="0"/>
        <v>49.36214285714285</v>
      </c>
      <c r="G30" s="10">
        <f>IF(F30&lt;=0,Params!$C$9,MIN(Params!$C$9,MAX(Params!$C$8,E30/F30)))</f>
        <v>1.3370570275080673</v>
      </c>
      <c r="H30" s="10">
        <f>Params!$C$11</f>
        <v>1</v>
      </c>
      <c r="I30" s="10">
        <f t="shared" si="1"/>
        <v>88.245763815532442</v>
      </c>
      <c r="J30" s="10">
        <f>MIN(Params!$C$15,IF(I30&lt;=Params!$C$13,I30,Params!$C$13+(I30-Params!$C$13)*Params!$C$14))</f>
        <v>88.245763815532442</v>
      </c>
      <c r="K30" s="17">
        <f t="shared" si="2"/>
        <v>1</v>
      </c>
      <c r="L30" s="17">
        <f>ROUNDUP(14/7,0)</f>
        <v>2</v>
      </c>
    </row>
    <row r="31" spans="1:12" x14ac:dyDescent="0.4">
      <c r="A31" s="5">
        <v>15</v>
      </c>
      <c r="B31" s="16">
        <v>0</v>
      </c>
      <c r="C31" s="16">
        <v>40</v>
      </c>
      <c r="D31" s="16">
        <v>0</v>
      </c>
      <c r="E31" s="10">
        <f>B31*Params!$C$5+C31*Params!$C$6+D31*Params!$C$7</f>
        <v>80</v>
      </c>
      <c r="F31" s="10">
        <f t="shared" si="0"/>
        <v>50.428571428571431</v>
      </c>
      <c r="G31" s="10">
        <f>IF(F31&lt;=0,Params!$C$9,MIN(Params!$C$9,MAX(Params!$C$8,E31/F31)))</f>
        <v>1.5</v>
      </c>
      <c r="H31" s="10">
        <f>Params!$C$11</f>
        <v>1</v>
      </c>
      <c r="I31" s="10">
        <f t="shared" si="1"/>
        <v>120</v>
      </c>
      <c r="J31" s="10">
        <f>MIN(Params!$C$15,IF(I31&lt;=Params!$C$13,I31,Params!$C$13+(I31-Params!$C$13)*Params!$C$14))</f>
        <v>120</v>
      </c>
      <c r="K31" s="17">
        <f t="shared" si="2"/>
        <v>1</v>
      </c>
      <c r="L31" s="17">
        <f>ROUNDUP(15/7,0)</f>
        <v>3</v>
      </c>
    </row>
    <row r="32" spans="1:12" x14ac:dyDescent="0.4">
      <c r="A32" s="5">
        <v>16</v>
      </c>
      <c r="B32" s="16">
        <v>0</v>
      </c>
      <c r="C32" s="16">
        <v>0</v>
      </c>
      <c r="D32" s="16">
        <v>0</v>
      </c>
      <c r="E32" s="10">
        <f>B32*Params!$C$5+C32*Params!$C$6+D32*Params!$C$7</f>
        <v>0</v>
      </c>
      <c r="F32" s="10">
        <f t="shared" si="0"/>
        <v>51.142857142857146</v>
      </c>
      <c r="G32" s="10">
        <f>IF(F32&lt;=0,Params!$C$9,MIN(Params!$C$9,MAX(Params!$C$8,E32/F32)))</f>
        <v>0.8</v>
      </c>
      <c r="H32" s="10">
        <f>Params!$C$11</f>
        <v>1</v>
      </c>
      <c r="I32" s="10">
        <f t="shared" si="1"/>
        <v>0</v>
      </c>
      <c r="J32" s="10">
        <f>MIN(Params!$C$15,IF(I32&lt;=Params!$C$13,I32,Params!$C$13+(I32-Params!$C$13)*Params!$C$14))</f>
        <v>0</v>
      </c>
      <c r="K32" s="17">
        <f t="shared" si="2"/>
        <v>0</v>
      </c>
      <c r="L32" s="17">
        <f>ROUNDUP(16/7,0)</f>
        <v>3</v>
      </c>
    </row>
    <row r="33" spans="1:12" x14ac:dyDescent="0.4">
      <c r="A33" s="5">
        <v>17</v>
      </c>
      <c r="B33" s="16">
        <v>0</v>
      </c>
      <c r="C33" s="16">
        <v>35</v>
      </c>
      <c r="D33" s="16">
        <v>0</v>
      </c>
      <c r="E33" s="10">
        <f>B33*Params!$C$5+C33*Params!$C$6+D33*Params!$C$7</f>
        <v>70</v>
      </c>
      <c r="F33" s="10">
        <f t="shared" si="0"/>
        <v>51.142857142857146</v>
      </c>
      <c r="G33" s="10">
        <f>IF(F33&lt;=0,Params!$C$9,MIN(Params!$C$9,MAX(Params!$C$8,E33/F33)))</f>
        <v>1.3687150837988826</v>
      </c>
      <c r="H33" s="10">
        <f>Params!$C$11</f>
        <v>1</v>
      </c>
      <c r="I33" s="10">
        <f t="shared" si="1"/>
        <v>95.810055865921782</v>
      </c>
      <c r="J33" s="10">
        <f>MIN(Params!$C$15,IF(I33&lt;=Params!$C$13,I33,Params!$C$13+(I33-Params!$C$13)*Params!$C$14))</f>
        <v>95.810055865921782</v>
      </c>
      <c r="K33" s="17">
        <f t="shared" si="2"/>
        <v>1</v>
      </c>
      <c r="L33" s="17">
        <f>ROUNDUP(17/7,0)</f>
        <v>3</v>
      </c>
    </row>
    <row r="34" spans="1:12" x14ac:dyDescent="0.4">
      <c r="A34" s="5">
        <v>18</v>
      </c>
      <c r="B34" s="16">
        <v>0</v>
      </c>
      <c r="C34" s="16">
        <v>30</v>
      </c>
      <c r="D34" s="16">
        <v>0</v>
      </c>
      <c r="E34" s="10">
        <f>B34*Params!$C$5+C34*Params!$C$6+D34*Params!$C$7</f>
        <v>60</v>
      </c>
      <c r="F34" s="10">
        <f t="shared" si="0"/>
        <v>51.142857142857146</v>
      </c>
      <c r="G34" s="10">
        <f>IF(F34&lt;=0,Params!$C$9,MIN(Params!$C$9,MAX(Params!$C$8,E34/F34)))</f>
        <v>1.1731843575418994</v>
      </c>
      <c r="H34" s="10">
        <f>Params!$C$11</f>
        <v>1</v>
      </c>
      <c r="I34" s="10">
        <f t="shared" si="1"/>
        <v>70.391061452513966</v>
      </c>
      <c r="J34" s="10">
        <f>MIN(Params!$C$15,IF(I34&lt;=Params!$C$13,I34,Params!$C$13+(I34-Params!$C$13)*Params!$C$14))</f>
        <v>70.391061452513966</v>
      </c>
      <c r="K34" s="17">
        <f t="shared" si="2"/>
        <v>1</v>
      </c>
      <c r="L34" s="17">
        <f>ROUNDUP(18/7,0)</f>
        <v>3</v>
      </c>
    </row>
    <row r="35" spans="1:12" x14ac:dyDescent="0.4">
      <c r="A35" s="5">
        <v>19</v>
      </c>
      <c r="B35" s="16">
        <v>0</v>
      </c>
      <c r="C35" s="16">
        <v>42</v>
      </c>
      <c r="D35" s="16">
        <v>0</v>
      </c>
      <c r="E35" s="10">
        <f>B35*Params!$C$5+C35*Params!$C$6+D35*Params!$C$7</f>
        <v>84</v>
      </c>
      <c r="F35" s="10">
        <f t="shared" si="0"/>
        <v>51.142857142857146</v>
      </c>
      <c r="G35" s="10">
        <f>IF(F35&lt;=0,Params!$C$9,MIN(Params!$C$9,MAX(Params!$C$8,E35/F35)))</f>
        <v>1.5</v>
      </c>
      <c r="H35" s="10">
        <f>Params!$C$11</f>
        <v>1</v>
      </c>
      <c r="I35" s="10">
        <f t="shared" si="1"/>
        <v>126</v>
      </c>
      <c r="J35" s="10">
        <f>MIN(Params!$C$15,IF(I35&lt;=Params!$C$13,I35,Params!$C$13+(I35-Params!$C$13)*Params!$C$14))</f>
        <v>126</v>
      </c>
      <c r="K35" s="17">
        <f t="shared" si="2"/>
        <v>1</v>
      </c>
      <c r="L35" s="17">
        <f>ROUNDUP(19/7,0)</f>
        <v>3</v>
      </c>
    </row>
    <row r="36" spans="1:12" x14ac:dyDescent="0.4">
      <c r="A36" s="5">
        <v>20</v>
      </c>
      <c r="B36" s="16">
        <v>0</v>
      </c>
      <c r="C36" s="16">
        <v>0</v>
      </c>
      <c r="D36" s="16">
        <v>0</v>
      </c>
      <c r="E36" s="10">
        <f>B36*Params!$C$5+C36*Params!$C$6+D36*Params!$C$7</f>
        <v>0</v>
      </c>
      <c r="F36" s="10">
        <f t="shared" si="0"/>
        <v>51.428571428571431</v>
      </c>
      <c r="G36" s="10">
        <f>IF(F36&lt;=0,Params!$C$9,MIN(Params!$C$9,MAX(Params!$C$8,E36/F36)))</f>
        <v>0.8</v>
      </c>
      <c r="H36" s="10">
        <f>Params!$C$11</f>
        <v>1</v>
      </c>
      <c r="I36" s="10">
        <f t="shared" si="1"/>
        <v>0</v>
      </c>
      <c r="J36" s="10">
        <f>MIN(Params!$C$15,IF(I36&lt;=Params!$C$13,I36,Params!$C$13+(I36-Params!$C$13)*Params!$C$14))</f>
        <v>0</v>
      </c>
      <c r="K36" s="17">
        <f t="shared" si="2"/>
        <v>0</v>
      </c>
      <c r="L36" s="17">
        <f>ROUNDUP(20/7,0)</f>
        <v>3</v>
      </c>
    </row>
    <row r="37" spans="1:12" x14ac:dyDescent="0.4">
      <c r="A37" s="5">
        <v>21</v>
      </c>
      <c r="B37" s="16">
        <v>0</v>
      </c>
      <c r="C37" s="16">
        <v>36</v>
      </c>
      <c r="D37" s="16">
        <v>0</v>
      </c>
      <c r="E37" s="10">
        <f>B37*Params!$C$5+C37*Params!$C$6+D37*Params!$C$7</f>
        <v>72</v>
      </c>
      <c r="F37" s="10">
        <f t="shared" si="0"/>
        <v>51.428571428571431</v>
      </c>
      <c r="G37" s="10">
        <f>IF(F37&lt;=0,Params!$C$9,MIN(Params!$C$9,MAX(Params!$C$8,E37/F37)))</f>
        <v>1.4</v>
      </c>
      <c r="H37" s="10">
        <f>Params!$C$11</f>
        <v>1</v>
      </c>
      <c r="I37" s="10">
        <f t="shared" si="1"/>
        <v>100.8</v>
      </c>
      <c r="J37" s="10">
        <f>MIN(Params!$C$15,IF(I37&lt;=Params!$C$13,I37,Params!$C$13+(I37-Params!$C$13)*Params!$C$14))</f>
        <v>100.8</v>
      </c>
      <c r="K37" s="17">
        <f t="shared" si="2"/>
        <v>1</v>
      </c>
      <c r="L37" s="17">
        <f>ROUNDUP(21/7,0)</f>
        <v>3</v>
      </c>
    </row>
    <row r="38" spans="1:12" x14ac:dyDescent="0.4">
      <c r="A38" s="5">
        <v>22</v>
      </c>
      <c r="B38" s="16">
        <v>0</v>
      </c>
      <c r="C38" s="16">
        <v>35</v>
      </c>
      <c r="D38" s="16">
        <v>0</v>
      </c>
      <c r="E38" s="10">
        <f>B38*Params!$C$5+C38*Params!$C$6+D38*Params!$C$7</f>
        <v>70</v>
      </c>
      <c r="F38" s="10">
        <f t="shared" si="0"/>
        <v>51.571428571428569</v>
      </c>
      <c r="G38" s="10">
        <f>IF(F38&lt;=0,Params!$C$9,MIN(Params!$C$9,MAX(Params!$C$8,E38/F38)))</f>
        <v>1.3573407202216068</v>
      </c>
      <c r="H38" s="10">
        <f>Params!$C$11</f>
        <v>1</v>
      </c>
      <c r="I38" s="10">
        <f t="shared" si="1"/>
        <v>95.013850415512479</v>
      </c>
      <c r="J38" s="10">
        <f>MIN(Params!$C$15,IF(I38&lt;=Params!$C$13,I38,Params!$C$13+(I38-Params!$C$13)*Params!$C$14))</f>
        <v>95.013850415512479</v>
      </c>
      <c r="K38" s="17">
        <f t="shared" si="2"/>
        <v>1</v>
      </c>
      <c r="L38" s="17">
        <f>ROUNDUP(22/7,0)</f>
        <v>4</v>
      </c>
    </row>
    <row r="39" spans="1:12" x14ac:dyDescent="0.4">
      <c r="A39" s="5">
        <v>23</v>
      </c>
      <c r="B39" s="16">
        <v>0</v>
      </c>
      <c r="C39" s="16">
        <v>0</v>
      </c>
      <c r="D39" s="16">
        <v>0</v>
      </c>
      <c r="E39" s="10">
        <f>B39*Params!$C$5+C39*Params!$C$6+D39*Params!$C$7</f>
        <v>0</v>
      </c>
      <c r="F39" s="10">
        <f t="shared" si="0"/>
        <v>51.142857142857146</v>
      </c>
      <c r="G39" s="10">
        <f>IF(F39&lt;=0,Params!$C$9,MIN(Params!$C$9,MAX(Params!$C$8,E39/F39)))</f>
        <v>0.8</v>
      </c>
      <c r="H39" s="10">
        <f>Params!$C$11</f>
        <v>1</v>
      </c>
      <c r="I39" s="10">
        <f t="shared" si="1"/>
        <v>0</v>
      </c>
      <c r="J39" s="10">
        <f>MIN(Params!$C$15,IF(I39&lt;=Params!$C$13,I39,Params!$C$13+(I39-Params!$C$13)*Params!$C$14))</f>
        <v>0</v>
      </c>
      <c r="K39" s="17">
        <f t="shared" si="2"/>
        <v>0</v>
      </c>
      <c r="L39" s="17">
        <f>ROUNDUP(23/7,0)</f>
        <v>4</v>
      </c>
    </row>
    <row r="40" spans="1:12" x14ac:dyDescent="0.4">
      <c r="A40" s="5">
        <v>24</v>
      </c>
      <c r="B40" s="16">
        <v>0</v>
      </c>
      <c r="C40" s="16">
        <v>38</v>
      </c>
      <c r="D40" s="16">
        <v>0</v>
      </c>
      <c r="E40" s="10">
        <f>B40*Params!$C$5+C40*Params!$C$6+D40*Params!$C$7</f>
        <v>76</v>
      </c>
      <c r="F40" s="10">
        <f t="shared" si="0"/>
        <v>51.142857142857146</v>
      </c>
      <c r="G40" s="10">
        <f>IF(F40&lt;=0,Params!$C$9,MIN(Params!$C$9,MAX(Params!$C$8,E40/F40)))</f>
        <v>1.4860335195530725</v>
      </c>
      <c r="H40" s="10">
        <f>Params!$C$11</f>
        <v>1</v>
      </c>
      <c r="I40" s="10">
        <f t="shared" si="1"/>
        <v>112.93854748603351</v>
      </c>
      <c r="J40" s="10">
        <f>MIN(Params!$C$15,IF(I40&lt;=Params!$C$13,I40,Params!$C$13+(I40-Params!$C$13)*Params!$C$14))</f>
        <v>112.93854748603351</v>
      </c>
      <c r="K40" s="17">
        <f t="shared" si="2"/>
        <v>1</v>
      </c>
      <c r="L40" s="17">
        <f>ROUNDUP(24/7,0)</f>
        <v>4</v>
      </c>
    </row>
    <row r="41" spans="1:12" x14ac:dyDescent="0.4">
      <c r="A41" s="5">
        <v>25</v>
      </c>
      <c r="B41" s="16">
        <v>0</v>
      </c>
      <c r="C41" s="16">
        <v>32</v>
      </c>
      <c r="D41" s="16">
        <v>0</v>
      </c>
      <c r="E41" s="10">
        <f>B41*Params!$C$5+C41*Params!$C$6+D41*Params!$C$7</f>
        <v>64</v>
      </c>
      <c r="F41" s="10">
        <f t="shared" si="0"/>
        <v>52</v>
      </c>
      <c r="G41" s="10">
        <f>IF(F41&lt;=0,Params!$C$9,MIN(Params!$C$9,MAX(Params!$C$8,E41/F41)))</f>
        <v>1.2307692307692308</v>
      </c>
      <c r="H41" s="10">
        <f>Params!$C$11</f>
        <v>1</v>
      </c>
      <c r="I41" s="10">
        <f t="shared" si="1"/>
        <v>78.769230769230774</v>
      </c>
      <c r="J41" s="10">
        <f>MIN(Params!$C$15,IF(I41&lt;=Params!$C$13,I41,Params!$C$13+(I41-Params!$C$13)*Params!$C$14))</f>
        <v>78.769230769230774</v>
      </c>
      <c r="K41" s="17">
        <f t="shared" si="2"/>
        <v>1</v>
      </c>
      <c r="L41" s="17">
        <f>ROUNDUP(25/7,0)</f>
        <v>4</v>
      </c>
    </row>
    <row r="42" spans="1:12" x14ac:dyDescent="0.4">
      <c r="A42" s="5">
        <v>26</v>
      </c>
      <c r="B42" s="16">
        <v>0</v>
      </c>
      <c r="C42" s="16">
        <v>40</v>
      </c>
      <c r="D42" s="16">
        <v>0</v>
      </c>
      <c r="E42" s="10">
        <f>B42*Params!$C$5+C42*Params!$C$6+D42*Params!$C$7</f>
        <v>80</v>
      </c>
      <c r="F42" s="10">
        <f t="shared" si="0"/>
        <v>51.571428571428569</v>
      </c>
      <c r="G42" s="10">
        <f>IF(F42&lt;=0,Params!$C$9,MIN(Params!$C$9,MAX(Params!$C$8,E42/F42)))</f>
        <v>1.5</v>
      </c>
      <c r="H42" s="10">
        <f>Params!$C$11</f>
        <v>1</v>
      </c>
      <c r="I42" s="10">
        <f t="shared" si="1"/>
        <v>120</v>
      </c>
      <c r="J42" s="10">
        <f>MIN(Params!$C$15,IF(I42&lt;=Params!$C$13,I42,Params!$C$13+(I42-Params!$C$13)*Params!$C$14))</f>
        <v>120</v>
      </c>
      <c r="K42" s="17">
        <f t="shared" si="2"/>
        <v>1</v>
      </c>
      <c r="L42" s="17">
        <f>ROUNDUP(26/7,0)</f>
        <v>4</v>
      </c>
    </row>
    <row r="43" spans="1:12" x14ac:dyDescent="0.4">
      <c r="A43" s="5">
        <v>27</v>
      </c>
      <c r="B43" s="16">
        <v>0</v>
      </c>
      <c r="C43" s="16">
        <v>0</v>
      </c>
      <c r="D43" s="16">
        <v>0</v>
      </c>
      <c r="E43" s="10">
        <f>B43*Params!$C$5+C43*Params!$C$6+D43*Params!$C$7</f>
        <v>0</v>
      </c>
      <c r="F43" s="10">
        <f t="shared" si="0"/>
        <v>51.571428571428569</v>
      </c>
      <c r="G43" s="10">
        <f>IF(F43&lt;=0,Params!$C$9,MIN(Params!$C$9,MAX(Params!$C$8,E43/F43)))</f>
        <v>0.8</v>
      </c>
      <c r="H43" s="10">
        <f>Params!$C$11</f>
        <v>1</v>
      </c>
      <c r="I43" s="10">
        <f t="shared" si="1"/>
        <v>0</v>
      </c>
      <c r="J43" s="10">
        <f>MIN(Params!$C$15,IF(I43&lt;=Params!$C$13,I43,Params!$C$13+(I43-Params!$C$13)*Params!$C$14))</f>
        <v>0</v>
      </c>
      <c r="K43" s="17">
        <f t="shared" si="2"/>
        <v>0</v>
      </c>
      <c r="L43" s="17">
        <f>ROUNDUP(27/7,0)</f>
        <v>4</v>
      </c>
    </row>
    <row r="44" spans="1:12" x14ac:dyDescent="0.4">
      <c r="A44" s="5">
        <v>28</v>
      </c>
      <c r="B44" s="16">
        <v>0</v>
      </c>
      <c r="C44" s="16">
        <v>34</v>
      </c>
      <c r="D44" s="16">
        <v>0</v>
      </c>
      <c r="E44" s="10">
        <f>B44*Params!$C$5+C44*Params!$C$6+D44*Params!$C$7</f>
        <v>68</v>
      </c>
      <c r="F44" s="10">
        <f t="shared" si="0"/>
        <v>51.571428571428569</v>
      </c>
      <c r="G44" s="10">
        <f>IF(F44&lt;=0,Params!$C$9,MIN(Params!$C$9,MAX(Params!$C$8,E44/F44)))</f>
        <v>1.3185595567867037</v>
      </c>
      <c r="H44" s="10">
        <f>Params!$C$11</f>
        <v>1</v>
      </c>
      <c r="I44" s="10">
        <f t="shared" si="1"/>
        <v>89.662049861495845</v>
      </c>
      <c r="J44" s="10">
        <f>MIN(Params!$C$15,IF(I44&lt;=Params!$C$13,I44,Params!$C$13+(I44-Params!$C$13)*Params!$C$14))</f>
        <v>89.662049861495845</v>
      </c>
      <c r="K44" s="17">
        <f t="shared" si="2"/>
        <v>1</v>
      </c>
      <c r="L44" s="17">
        <f>ROUNDUP(28/7,0)</f>
        <v>4</v>
      </c>
    </row>
    <row r="46" spans="1:12" x14ac:dyDescent="0.4">
      <c r="A46" s="8" t="s">
        <v>87</v>
      </c>
    </row>
    <row r="47" spans="1:12" x14ac:dyDescent="0.4">
      <c r="A47" s="3" t="s">
        <v>88</v>
      </c>
      <c r="B47" s="3" t="s">
        <v>89</v>
      </c>
      <c r="C47" s="3" t="s">
        <v>90</v>
      </c>
      <c r="D47" s="3" t="s">
        <v>91</v>
      </c>
      <c r="E47" s="3" t="s">
        <v>92</v>
      </c>
      <c r="F47" s="3" t="s">
        <v>93</v>
      </c>
      <c r="G47" s="3" t="s">
        <v>94</v>
      </c>
      <c r="H47" s="3" t="s">
        <v>95</v>
      </c>
    </row>
    <row r="48" spans="1:12" x14ac:dyDescent="0.4">
      <c r="A48" s="5">
        <v>1</v>
      </c>
      <c r="B48" s="5">
        <f>SUMIFS(K17:K44,L17:L44,1)</f>
        <v>5</v>
      </c>
      <c r="C48" s="5">
        <f>7-B48</f>
        <v>2</v>
      </c>
      <c r="D48" s="5">
        <f>IF(AND(B48&gt;=Params!$C$16,C48&gt;=Params!$C$17),1+Params!$C$18,1)</f>
        <v>1.1499999999999999</v>
      </c>
      <c r="E48" s="5">
        <f>SUMIFS(J17:J44,L17:L44,1)</f>
        <v>487.85612453035043</v>
      </c>
      <c r="F48" s="5">
        <f>E48*D48</f>
        <v>561.03454320990295</v>
      </c>
      <c r="G48" s="5">
        <f>F48</f>
        <v>561.03454320990295</v>
      </c>
      <c r="H48" s="5">
        <f>(G48/Params!$C$19)^(1/Params!$C$20)</f>
        <v>3.1573767107139776</v>
      </c>
    </row>
    <row r="49" spans="1:8" x14ac:dyDescent="0.4">
      <c r="A49" s="5">
        <v>2</v>
      </c>
      <c r="B49" s="5">
        <f>SUMIFS(K17:K44,L17:L44,2)</f>
        <v>5</v>
      </c>
      <c r="C49" s="5">
        <f>7-B49</f>
        <v>2</v>
      </c>
      <c r="D49" s="5">
        <f>IF(AND(B49&gt;=Params!$C$16,C49&gt;=Params!$C$17),1+Params!$C$18,1)</f>
        <v>1.1499999999999999</v>
      </c>
      <c r="E49" s="5">
        <f>SUMIFS(J17:J44,L17:L44,2)</f>
        <v>505.21548620364229</v>
      </c>
      <c r="F49" s="5">
        <f>E49*D49</f>
        <v>580.99780913418863</v>
      </c>
      <c r="G49" s="5">
        <f>G48+F49</f>
        <v>1142.0323523440916</v>
      </c>
      <c r="H49" s="5">
        <f>(G49/Params!$C$19)^(1/Params!$C$20)</f>
        <v>5.0712957431079921</v>
      </c>
    </row>
    <row r="50" spans="1:8" x14ac:dyDescent="0.4">
      <c r="A50" s="5">
        <v>3</v>
      </c>
      <c r="B50" s="5">
        <f>SUMIFS(K17:K44,L17:L44,3)</f>
        <v>5</v>
      </c>
      <c r="C50" s="5">
        <f>7-B50</f>
        <v>2</v>
      </c>
      <c r="D50" s="5">
        <f>IF(AND(B50&gt;=Params!$C$16,C50&gt;=Params!$C$17),1+Params!$C$18,1)</f>
        <v>1.1499999999999999</v>
      </c>
      <c r="E50" s="5">
        <f>SUMIFS(J17:J44,L17:L44,3)</f>
        <v>513.00111731843572</v>
      </c>
      <c r="F50" s="5">
        <f>E50*D50</f>
        <v>589.95128491620108</v>
      </c>
      <c r="G50" s="5">
        <f>G49+F50</f>
        <v>1731.9836372602927</v>
      </c>
      <c r="H50" s="5">
        <f>(G50/Params!$C$19)^(1/Params!$C$20)</f>
        <v>6.6941564254196768</v>
      </c>
    </row>
    <row r="51" spans="1:8" x14ac:dyDescent="0.4">
      <c r="A51" s="5">
        <v>4</v>
      </c>
      <c r="B51" s="5">
        <f>SUMIFS(K17:K44,L17:L44,4)</f>
        <v>5</v>
      </c>
      <c r="C51" s="5">
        <f>7-B51</f>
        <v>2</v>
      </c>
      <c r="D51" s="5">
        <f>IF(AND(B51&gt;=Params!$C$16,C51&gt;=Params!$C$17),1+Params!$C$18,1)</f>
        <v>1.1499999999999999</v>
      </c>
      <c r="E51" s="5">
        <f>SUMIFS(J17:J44,L17:L44,4)</f>
        <v>496.38367853227265</v>
      </c>
      <c r="F51" s="5">
        <f>E51*D51</f>
        <v>570.84123031211345</v>
      </c>
      <c r="G51" s="5">
        <f>G50+F51</f>
        <v>2302.8248675724062</v>
      </c>
      <c r="H51" s="5">
        <f>(G51/Params!$C$19)^(1/Params!$C$20)</f>
        <v>8.0942001720397059</v>
      </c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1"/>
  <sheetViews>
    <sheetView workbookViewId="0">
      <pane ySplit="16" topLeftCell="A17" activePane="bottomLeft" state="frozen"/>
      <selection pane="bottomLeft"/>
    </sheetView>
  </sheetViews>
  <sheetFormatPr defaultRowHeight="17.399999999999999" x14ac:dyDescent="0.4"/>
  <cols>
    <col min="1" max="4" width="9" customWidth="1"/>
    <col min="5" max="5" width="11" customWidth="1"/>
    <col min="6" max="8" width="10" customWidth="1"/>
    <col min="9" max="10" width="9" customWidth="1"/>
    <col min="11" max="12" width="7" customWidth="1"/>
  </cols>
  <sheetData>
    <row r="1" spans="1:12" ht="18" customHeight="1" x14ac:dyDescent="0.4">
      <c r="A1" s="1" t="s">
        <v>98</v>
      </c>
    </row>
    <row r="2" spans="1:12" x14ac:dyDescent="0.4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  <c r="L2" s="3" t="s">
        <v>72</v>
      </c>
    </row>
    <row r="3" spans="1:12" x14ac:dyDescent="0.4">
      <c r="A3" s="13" t="s">
        <v>73</v>
      </c>
      <c r="B3" s="14"/>
      <c r="C3" s="14"/>
      <c r="D3" s="14"/>
      <c r="E3" s="15">
        <v>43.66</v>
      </c>
      <c r="F3" s="14"/>
      <c r="G3" s="14"/>
      <c r="H3" s="14"/>
      <c r="I3" s="14"/>
      <c r="J3" s="14"/>
      <c r="K3" s="14"/>
      <c r="L3" s="14"/>
    </row>
    <row r="4" spans="1:12" x14ac:dyDescent="0.4">
      <c r="A4" s="13" t="s">
        <v>74</v>
      </c>
      <c r="B4" s="14"/>
      <c r="C4" s="14"/>
      <c r="D4" s="14"/>
      <c r="E4" s="15">
        <v>43.66</v>
      </c>
      <c r="F4" s="14"/>
      <c r="G4" s="14"/>
      <c r="H4" s="14"/>
      <c r="I4" s="14"/>
      <c r="J4" s="14"/>
      <c r="K4" s="14"/>
      <c r="L4" s="14"/>
    </row>
    <row r="5" spans="1:12" x14ac:dyDescent="0.4">
      <c r="A5" s="13" t="s">
        <v>75</v>
      </c>
      <c r="B5" s="14"/>
      <c r="C5" s="14"/>
      <c r="D5" s="14"/>
      <c r="E5" s="15">
        <v>43.66</v>
      </c>
      <c r="F5" s="14"/>
      <c r="G5" s="14"/>
      <c r="H5" s="14"/>
      <c r="I5" s="14"/>
      <c r="J5" s="14"/>
      <c r="K5" s="14"/>
      <c r="L5" s="14"/>
    </row>
    <row r="6" spans="1:12" x14ac:dyDescent="0.4">
      <c r="A6" s="13" t="s">
        <v>76</v>
      </c>
      <c r="B6" s="14"/>
      <c r="C6" s="14"/>
      <c r="D6" s="14"/>
      <c r="E6" s="15">
        <v>43.66</v>
      </c>
      <c r="F6" s="14"/>
      <c r="G6" s="14"/>
      <c r="H6" s="14"/>
      <c r="I6" s="14"/>
      <c r="J6" s="14"/>
      <c r="K6" s="14"/>
      <c r="L6" s="14"/>
    </row>
    <row r="7" spans="1:12" x14ac:dyDescent="0.4">
      <c r="A7" s="13" t="s">
        <v>77</v>
      </c>
      <c r="B7" s="14"/>
      <c r="C7" s="14"/>
      <c r="D7" s="14"/>
      <c r="E7" s="15">
        <v>43.66</v>
      </c>
      <c r="F7" s="14"/>
      <c r="G7" s="14"/>
      <c r="H7" s="14"/>
      <c r="I7" s="14"/>
      <c r="J7" s="14"/>
      <c r="K7" s="14"/>
      <c r="L7" s="14"/>
    </row>
    <row r="8" spans="1:12" x14ac:dyDescent="0.4">
      <c r="A8" s="13" t="s">
        <v>78</v>
      </c>
      <c r="B8" s="14"/>
      <c r="C8" s="14"/>
      <c r="D8" s="14"/>
      <c r="E8" s="15">
        <v>43.66</v>
      </c>
      <c r="F8" s="14"/>
      <c r="G8" s="14"/>
      <c r="H8" s="14"/>
      <c r="I8" s="14"/>
      <c r="J8" s="14"/>
      <c r="K8" s="14"/>
      <c r="L8" s="14"/>
    </row>
    <row r="9" spans="1:12" x14ac:dyDescent="0.4">
      <c r="A9" s="13" t="s">
        <v>79</v>
      </c>
      <c r="B9" s="14"/>
      <c r="C9" s="14"/>
      <c r="D9" s="14"/>
      <c r="E9" s="15">
        <v>43.66</v>
      </c>
      <c r="F9" s="14"/>
      <c r="G9" s="14"/>
      <c r="H9" s="14"/>
      <c r="I9" s="14"/>
      <c r="J9" s="14"/>
      <c r="K9" s="14"/>
      <c r="L9" s="14"/>
    </row>
    <row r="10" spans="1:12" x14ac:dyDescent="0.4">
      <c r="A10" s="13" t="s">
        <v>80</v>
      </c>
      <c r="B10" s="14"/>
      <c r="C10" s="14"/>
      <c r="D10" s="14"/>
      <c r="E10" s="15">
        <v>43.66</v>
      </c>
      <c r="F10" s="14"/>
      <c r="G10" s="14"/>
      <c r="H10" s="14"/>
      <c r="I10" s="14"/>
      <c r="J10" s="14"/>
      <c r="K10" s="14"/>
      <c r="L10" s="14"/>
    </row>
    <row r="11" spans="1:12" x14ac:dyDescent="0.4">
      <c r="A11" s="13" t="s">
        <v>81</v>
      </c>
      <c r="B11" s="14"/>
      <c r="C11" s="14"/>
      <c r="D11" s="14"/>
      <c r="E11" s="15">
        <v>43.66</v>
      </c>
      <c r="F11" s="14"/>
      <c r="G11" s="14"/>
      <c r="H11" s="14"/>
      <c r="I11" s="14"/>
      <c r="J11" s="14"/>
      <c r="K11" s="14"/>
      <c r="L11" s="14"/>
    </row>
    <row r="12" spans="1:12" x14ac:dyDescent="0.4">
      <c r="A12" s="13" t="s">
        <v>82</v>
      </c>
      <c r="B12" s="14"/>
      <c r="C12" s="14"/>
      <c r="D12" s="14"/>
      <c r="E12" s="15">
        <v>43.66</v>
      </c>
      <c r="F12" s="14"/>
      <c r="G12" s="14"/>
      <c r="H12" s="14"/>
      <c r="I12" s="14"/>
      <c r="J12" s="14"/>
      <c r="K12" s="14"/>
      <c r="L12" s="14"/>
    </row>
    <row r="13" spans="1:12" x14ac:dyDescent="0.4">
      <c r="A13" s="13" t="s">
        <v>83</v>
      </c>
      <c r="B13" s="14"/>
      <c r="C13" s="14"/>
      <c r="D13" s="14"/>
      <c r="E13" s="15">
        <v>43.66</v>
      </c>
      <c r="F13" s="14"/>
      <c r="G13" s="14"/>
      <c r="H13" s="14"/>
      <c r="I13" s="14"/>
      <c r="J13" s="14"/>
      <c r="K13" s="14"/>
      <c r="L13" s="14"/>
    </row>
    <row r="14" spans="1:12" x14ac:dyDescent="0.4">
      <c r="A14" s="13" t="s">
        <v>84</v>
      </c>
      <c r="B14" s="14"/>
      <c r="C14" s="14"/>
      <c r="D14" s="14"/>
      <c r="E14" s="15">
        <v>43.66</v>
      </c>
      <c r="F14" s="14"/>
      <c r="G14" s="14"/>
      <c r="H14" s="14"/>
      <c r="I14" s="14"/>
      <c r="J14" s="14"/>
      <c r="K14" s="14"/>
      <c r="L14" s="14"/>
    </row>
    <row r="15" spans="1:12" x14ac:dyDescent="0.4">
      <c r="A15" s="13" t="s">
        <v>85</v>
      </c>
      <c r="B15" s="14"/>
      <c r="C15" s="14"/>
      <c r="D15" s="14"/>
      <c r="E15" s="15">
        <v>43.66</v>
      </c>
      <c r="F15" s="14"/>
      <c r="G15" s="14"/>
      <c r="H15" s="14"/>
      <c r="I15" s="14"/>
      <c r="J15" s="14"/>
      <c r="K15" s="14"/>
      <c r="L15" s="14"/>
    </row>
    <row r="16" spans="1:12" x14ac:dyDescent="0.4">
      <c r="A16" s="13" t="s">
        <v>86</v>
      </c>
      <c r="B16" s="14"/>
      <c r="C16" s="14"/>
      <c r="D16" s="14"/>
      <c r="E16" s="15">
        <v>43.66</v>
      </c>
      <c r="F16" s="14"/>
      <c r="G16" s="14"/>
      <c r="H16" s="14"/>
      <c r="I16" s="14"/>
      <c r="J16" s="14"/>
      <c r="K16" s="14"/>
      <c r="L16" s="14"/>
    </row>
    <row r="17" spans="1:12" x14ac:dyDescent="0.4">
      <c r="A17" s="5">
        <v>1</v>
      </c>
      <c r="B17" s="16">
        <v>0</v>
      </c>
      <c r="C17" s="16">
        <v>0</v>
      </c>
      <c r="D17" s="16">
        <v>50</v>
      </c>
      <c r="E17" s="10">
        <f>B17*Params!$C$5+C17*Params!$C$6+D17*Params!$C$7</f>
        <v>75</v>
      </c>
      <c r="F17" s="10">
        <f t="shared" ref="F17:F44" si="0">AVERAGE(E3:E16)</f>
        <v>43.659999999999982</v>
      </c>
      <c r="G17" s="10">
        <f>IF(F17&lt;=0,Params!$C$9,MIN(Params!$C$9,MAX(Params!$C$8,E17/F17)))</f>
        <v>1.5</v>
      </c>
      <c r="H17" s="10">
        <f>Params!$C$11</f>
        <v>1</v>
      </c>
      <c r="I17" s="10">
        <f t="shared" ref="I17:I44" si="1">E17*G17*H17</f>
        <v>112.5</v>
      </c>
      <c r="J17" s="10">
        <f>MIN(Params!$C$15,IF(I17&lt;=Params!$C$13,I17,Params!$C$13+(I17-Params!$C$13)*Params!$C$14))</f>
        <v>112.5</v>
      </c>
      <c r="K17" s="17">
        <f t="shared" ref="K17:K44" si="2">IF(E17&gt;0,1,0)</f>
        <v>1</v>
      </c>
      <c r="L17" s="17">
        <f>ROUNDUP(1/7,0)</f>
        <v>1</v>
      </c>
    </row>
    <row r="18" spans="1:12" x14ac:dyDescent="0.4">
      <c r="A18" s="5">
        <v>2</v>
      </c>
      <c r="B18" s="16">
        <v>0</v>
      </c>
      <c r="C18" s="16">
        <v>0</v>
      </c>
      <c r="D18" s="16">
        <v>0</v>
      </c>
      <c r="E18" s="10">
        <f>B18*Params!$C$5+C18*Params!$C$6+D18*Params!$C$7</f>
        <v>0</v>
      </c>
      <c r="F18" s="10">
        <f t="shared" si="0"/>
        <v>45.898571428571415</v>
      </c>
      <c r="G18" s="10">
        <f>IF(F18&lt;=0,Params!$C$9,MIN(Params!$C$9,MAX(Params!$C$8,E18/F18)))</f>
        <v>0.8</v>
      </c>
      <c r="H18" s="10">
        <f>Params!$C$11</f>
        <v>1</v>
      </c>
      <c r="I18" s="10">
        <f t="shared" si="1"/>
        <v>0</v>
      </c>
      <c r="J18" s="10">
        <f>MIN(Params!$C$15,IF(I18&lt;=Params!$C$13,I18,Params!$C$13+(I18-Params!$C$13)*Params!$C$14))</f>
        <v>0</v>
      </c>
      <c r="K18" s="17">
        <f t="shared" si="2"/>
        <v>0</v>
      </c>
      <c r="L18" s="17">
        <f>ROUNDUP(2/7,0)</f>
        <v>1</v>
      </c>
    </row>
    <row r="19" spans="1:12" x14ac:dyDescent="0.4">
      <c r="A19" s="5">
        <v>3</v>
      </c>
      <c r="B19" s="16">
        <v>0</v>
      </c>
      <c r="C19" s="16">
        <v>0</v>
      </c>
      <c r="D19" s="16">
        <v>50</v>
      </c>
      <c r="E19" s="10">
        <f>B19*Params!$C$5+C19*Params!$C$6+D19*Params!$C$7</f>
        <v>75</v>
      </c>
      <c r="F19" s="10">
        <f t="shared" si="0"/>
        <v>42.779999999999987</v>
      </c>
      <c r="G19" s="10">
        <f>IF(F19&lt;=0,Params!$C$9,MIN(Params!$C$9,MAX(Params!$C$8,E19/F19)))</f>
        <v>1.5</v>
      </c>
      <c r="H19" s="10">
        <f>Params!$C$11</f>
        <v>1</v>
      </c>
      <c r="I19" s="10">
        <f t="shared" si="1"/>
        <v>112.5</v>
      </c>
      <c r="J19" s="10">
        <f>MIN(Params!$C$15,IF(I19&lt;=Params!$C$13,I19,Params!$C$13+(I19-Params!$C$13)*Params!$C$14))</f>
        <v>112.5</v>
      </c>
      <c r="K19" s="17">
        <f t="shared" si="2"/>
        <v>1</v>
      </c>
      <c r="L19" s="17">
        <f>ROUNDUP(3/7,0)</f>
        <v>1</v>
      </c>
    </row>
    <row r="20" spans="1:12" x14ac:dyDescent="0.4">
      <c r="A20" s="5">
        <v>4</v>
      </c>
      <c r="B20" s="16">
        <v>0</v>
      </c>
      <c r="C20" s="16">
        <v>0</v>
      </c>
      <c r="D20" s="16">
        <v>0</v>
      </c>
      <c r="E20" s="10">
        <f>B20*Params!$C$5+C20*Params!$C$6+D20*Params!$C$7</f>
        <v>0</v>
      </c>
      <c r="F20" s="10">
        <f t="shared" si="0"/>
        <v>45.01857142857142</v>
      </c>
      <c r="G20" s="10">
        <f>IF(F20&lt;=0,Params!$C$9,MIN(Params!$C$9,MAX(Params!$C$8,E20/F20)))</f>
        <v>0.8</v>
      </c>
      <c r="H20" s="10">
        <f>Params!$C$11</f>
        <v>1</v>
      </c>
      <c r="I20" s="10">
        <f t="shared" si="1"/>
        <v>0</v>
      </c>
      <c r="J20" s="10">
        <f>MIN(Params!$C$15,IF(I20&lt;=Params!$C$13,I20,Params!$C$13+(I20-Params!$C$13)*Params!$C$14))</f>
        <v>0</v>
      </c>
      <c r="K20" s="17">
        <f t="shared" si="2"/>
        <v>0</v>
      </c>
      <c r="L20" s="17">
        <f>ROUNDUP(4/7,0)</f>
        <v>1</v>
      </c>
    </row>
    <row r="21" spans="1:12" x14ac:dyDescent="0.4">
      <c r="A21" s="5">
        <v>5</v>
      </c>
      <c r="B21" s="16">
        <v>0</v>
      </c>
      <c r="C21" s="16">
        <v>0</v>
      </c>
      <c r="D21" s="16">
        <v>55</v>
      </c>
      <c r="E21" s="10">
        <f>B21*Params!$C$5+C21*Params!$C$6+D21*Params!$C$7</f>
        <v>82.5</v>
      </c>
      <c r="F21" s="10">
        <f t="shared" si="0"/>
        <v>41.899999999999991</v>
      </c>
      <c r="G21" s="10">
        <f>IF(F21&lt;=0,Params!$C$9,MIN(Params!$C$9,MAX(Params!$C$8,E21/F21)))</f>
        <v>1.5</v>
      </c>
      <c r="H21" s="10">
        <f>Params!$C$11</f>
        <v>1</v>
      </c>
      <c r="I21" s="10">
        <f t="shared" si="1"/>
        <v>123.75</v>
      </c>
      <c r="J21" s="10">
        <f>MIN(Params!$C$15,IF(I21&lt;=Params!$C$13,I21,Params!$C$13+(I21-Params!$C$13)*Params!$C$14))</f>
        <v>123.75</v>
      </c>
      <c r="K21" s="17">
        <f t="shared" si="2"/>
        <v>1</v>
      </c>
      <c r="L21" s="17">
        <f>ROUNDUP(5/7,0)</f>
        <v>1</v>
      </c>
    </row>
    <row r="22" spans="1:12" x14ac:dyDescent="0.4">
      <c r="A22" s="5">
        <v>6</v>
      </c>
      <c r="B22" s="16">
        <v>0</v>
      </c>
      <c r="C22" s="16">
        <v>0</v>
      </c>
      <c r="D22" s="16">
        <v>0</v>
      </c>
      <c r="E22" s="10">
        <f>B22*Params!$C$5+C22*Params!$C$6+D22*Params!$C$7</f>
        <v>0</v>
      </c>
      <c r="F22" s="10">
        <f t="shared" si="0"/>
        <v>44.674285714285709</v>
      </c>
      <c r="G22" s="10">
        <f>IF(F22&lt;=0,Params!$C$9,MIN(Params!$C$9,MAX(Params!$C$8,E22/F22)))</f>
        <v>0.8</v>
      </c>
      <c r="H22" s="10">
        <f>Params!$C$11</f>
        <v>1</v>
      </c>
      <c r="I22" s="10">
        <f t="shared" si="1"/>
        <v>0</v>
      </c>
      <c r="J22" s="10">
        <f>MIN(Params!$C$15,IF(I22&lt;=Params!$C$13,I22,Params!$C$13+(I22-Params!$C$13)*Params!$C$14))</f>
        <v>0</v>
      </c>
      <c r="K22" s="17">
        <f t="shared" si="2"/>
        <v>0</v>
      </c>
      <c r="L22" s="17">
        <f>ROUNDUP(6/7,0)</f>
        <v>1</v>
      </c>
    </row>
    <row r="23" spans="1:12" x14ac:dyDescent="0.4">
      <c r="A23" s="5">
        <v>7</v>
      </c>
      <c r="B23" s="16">
        <v>0</v>
      </c>
      <c r="C23" s="16">
        <v>0</v>
      </c>
      <c r="D23" s="16">
        <v>45</v>
      </c>
      <c r="E23" s="10">
        <f>B23*Params!$C$5+C23*Params!$C$6+D23*Params!$C$7</f>
        <v>67.5</v>
      </c>
      <c r="F23" s="10">
        <f t="shared" si="0"/>
        <v>41.555714285714281</v>
      </c>
      <c r="G23" s="10">
        <f>IF(F23&lt;=0,Params!$C$9,MIN(Params!$C$9,MAX(Params!$C$8,E23/F23)))</f>
        <v>1.5</v>
      </c>
      <c r="H23" s="10">
        <f>Params!$C$11</f>
        <v>1</v>
      </c>
      <c r="I23" s="10">
        <f t="shared" si="1"/>
        <v>101.25</v>
      </c>
      <c r="J23" s="10">
        <f>MIN(Params!$C$15,IF(I23&lt;=Params!$C$13,I23,Params!$C$13+(I23-Params!$C$13)*Params!$C$14))</f>
        <v>101.25</v>
      </c>
      <c r="K23" s="17">
        <f t="shared" si="2"/>
        <v>1</v>
      </c>
      <c r="L23" s="17">
        <f>ROUNDUP(7/7,0)</f>
        <v>1</v>
      </c>
    </row>
    <row r="24" spans="1:12" x14ac:dyDescent="0.4">
      <c r="A24" s="5">
        <v>8</v>
      </c>
      <c r="B24" s="16">
        <v>0</v>
      </c>
      <c r="C24" s="16">
        <v>0</v>
      </c>
      <c r="D24" s="16">
        <v>52</v>
      </c>
      <c r="E24" s="10">
        <f>B24*Params!$C$5+C24*Params!$C$6+D24*Params!$C$7</f>
        <v>78</v>
      </c>
      <c r="F24" s="10">
        <f t="shared" si="0"/>
        <v>43.258571428571429</v>
      </c>
      <c r="G24" s="10">
        <f>IF(F24&lt;=0,Params!$C$9,MIN(Params!$C$9,MAX(Params!$C$8,E24/F24)))</f>
        <v>1.5</v>
      </c>
      <c r="H24" s="10">
        <f>Params!$C$11</f>
        <v>1</v>
      </c>
      <c r="I24" s="10">
        <f t="shared" si="1"/>
        <v>117</v>
      </c>
      <c r="J24" s="10">
        <f>MIN(Params!$C$15,IF(I24&lt;=Params!$C$13,I24,Params!$C$13+(I24-Params!$C$13)*Params!$C$14))</f>
        <v>117</v>
      </c>
      <c r="K24" s="17">
        <f t="shared" si="2"/>
        <v>1</v>
      </c>
      <c r="L24" s="17">
        <f>ROUNDUP(8/7,0)</f>
        <v>2</v>
      </c>
    </row>
    <row r="25" spans="1:12" x14ac:dyDescent="0.4">
      <c r="A25" s="5">
        <v>9</v>
      </c>
      <c r="B25" s="16">
        <v>0</v>
      </c>
      <c r="C25" s="16">
        <v>0</v>
      </c>
      <c r="D25" s="16">
        <v>0</v>
      </c>
      <c r="E25" s="10">
        <f>B25*Params!$C$5+C25*Params!$C$6+D25*Params!$C$7</f>
        <v>0</v>
      </c>
      <c r="F25" s="10">
        <f t="shared" si="0"/>
        <v>45.711428571428577</v>
      </c>
      <c r="G25" s="10">
        <f>IF(F25&lt;=0,Params!$C$9,MIN(Params!$C$9,MAX(Params!$C$8,E25/F25)))</f>
        <v>0.8</v>
      </c>
      <c r="H25" s="10">
        <f>Params!$C$11</f>
        <v>1</v>
      </c>
      <c r="I25" s="10">
        <f t="shared" si="1"/>
        <v>0</v>
      </c>
      <c r="J25" s="10">
        <f>MIN(Params!$C$15,IF(I25&lt;=Params!$C$13,I25,Params!$C$13+(I25-Params!$C$13)*Params!$C$14))</f>
        <v>0</v>
      </c>
      <c r="K25" s="17">
        <f t="shared" si="2"/>
        <v>0</v>
      </c>
      <c r="L25" s="17">
        <f>ROUNDUP(9/7,0)</f>
        <v>2</v>
      </c>
    </row>
    <row r="26" spans="1:12" x14ac:dyDescent="0.4">
      <c r="A26" s="5">
        <v>10</v>
      </c>
      <c r="B26" s="16">
        <v>0</v>
      </c>
      <c r="C26" s="16">
        <v>0</v>
      </c>
      <c r="D26" s="16">
        <v>48</v>
      </c>
      <c r="E26" s="10">
        <f>B26*Params!$C$5+C26*Params!$C$6+D26*Params!$C$7</f>
        <v>72</v>
      </c>
      <c r="F26" s="10">
        <f t="shared" si="0"/>
        <v>42.592857142857142</v>
      </c>
      <c r="G26" s="10">
        <f>IF(F26&lt;=0,Params!$C$9,MIN(Params!$C$9,MAX(Params!$C$8,E26/F26)))</f>
        <v>1.5</v>
      </c>
      <c r="H26" s="10">
        <f>Params!$C$11</f>
        <v>1</v>
      </c>
      <c r="I26" s="10">
        <f t="shared" si="1"/>
        <v>108</v>
      </c>
      <c r="J26" s="10">
        <f>MIN(Params!$C$15,IF(I26&lt;=Params!$C$13,I26,Params!$C$13+(I26-Params!$C$13)*Params!$C$14))</f>
        <v>108</v>
      </c>
      <c r="K26" s="17">
        <f t="shared" si="2"/>
        <v>1</v>
      </c>
      <c r="L26" s="17">
        <f>ROUNDUP(10/7,0)</f>
        <v>2</v>
      </c>
    </row>
    <row r="27" spans="1:12" x14ac:dyDescent="0.4">
      <c r="A27" s="5">
        <v>11</v>
      </c>
      <c r="B27" s="16">
        <v>0</v>
      </c>
      <c r="C27" s="16">
        <v>0</v>
      </c>
      <c r="D27" s="16">
        <v>0</v>
      </c>
      <c r="E27" s="10">
        <f>B27*Params!$C$5+C27*Params!$C$6+D27*Params!$C$7</f>
        <v>0</v>
      </c>
      <c r="F27" s="10">
        <f t="shared" si="0"/>
        <v>44.617142857142859</v>
      </c>
      <c r="G27" s="10">
        <f>IF(F27&lt;=0,Params!$C$9,MIN(Params!$C$9,MAX(Params!$C$8,E27/F27)))</f>
        <v>0.8</v>
      </c>
      <c r="H27" s="10">
        <f>Params!$C$11</f>
        <v>1</v>
      </c>
      <c r="I27" s="10">
        <f t="shared" si="1"/>
        <v>0</v>
      </c>
      <c r="J27" s="10">
        <f>MIN(Params!$C$15,IF(I27&lt;=Params!$C$13,I27,Params!$C$13+(I27-Params!$C$13)*Params!$C$14))</f>
        <v>0</v>
      </c>
      <c r="K27" s="17">
        <f t="shared" si="2"/>
        <v>0</v>
      </c>
      <c r="L27" s="17">
        <f>ROUNDUP(11/7,0)</f>
        <v>2</v>
      </c>
    </row>
    <row r="28" spans="1:12" x14ac:dyDescent="0.4">
      <c r="A28" s="5">
        <v>12</v>
      </c>
      <c r="B28" s="16">
        <v>0</v>
      </c>
      <c r="C28" s="16">
        <v>0</v>
      </c>
      <c r="D28" s="16">
        <v>55</v>
      </c>
      <c r="E28" s="10">
        <f>B28*Params!$C$5+C28*Params!$C$6+D28*Params!$C$7</f>
        <v>82.5</v>
      </c>
      <c r="F28" s="10">
        <f t="shared" si="0"/>
        <v>41.498571428571431</v>
      </c>
      <c r="G28" s="10">
        <f>IF(F28&lt;=0,Params!$C$9,MIN(Params!$C$9,MAX(Params!$C$8,E28/F28)))</f>
        <v>1.5</v>
      </c>
      <c r="H28" s="10">
        <f>Params!$C$11</f>
        <v>1</v>
      </c>
      <c r="I28" s="10">
        <f t="shared" si="1"/>
        <v>123.75</v>
      </c>
      <c r="J28" s="10">
        <f>MIN(Params!$C$15,IF(I28&lt;=Params!$C$13,I28,Params!$C$13+(I28-Params!$C$13)*Params!$C$14))</f>
        <v>123.75</v>
      </c>
      <c r="K28" s="17">
        <f t="shared" si="2"/>
        <v>1</v>
      </c>
      <c r="L28" s="17">
        <f>ROUNDUP(12/7,0)</f>
        <v>2</v>
      </c>
    </row>
    <row r="29" spans="1:12" x14ac:dyDescent="0.4">
      <c r="A29" s="5">
        <v>13</v>
      </c>
      <c r="B29" s="16">
        <v>0</v>
      </c>
      <c r="C29" s="16">
        <v>0</v>
      </c>
      <c r="D29" s="16">
        <v>0</v>
      </c>
      <c r="E29" s="10">
        <f>B29*Params!$C$5+C29*Params!$C$6+D29*Params!$C$7</f>
        <v>0</v>
      </c>
      <c r="F29" s="10">
        <f t="shared" si="0"/>
        <v>44.272857142857141</v>
      </c>
      <c r="G29" s="10">
        <f>IF(F29&lt;=0,Params!$C$9,MIN(Params!$C$9,MAX(Params!$C$8,E29/F29)))</f>
        <v>0.8</v>
      </c>
      <c r="H29" s="10">
        <f>Params!$C$11</f>
        <v>1</v>
      </c>
      <c r="I29" s="10">
        <f t="shared" si="1"/>
        <v>0</v>
      </c>
      <c r="J29" s="10">
        <f>MIN(Params!$C$15,IF(I29&lt;=Params!$C$13,I29,Params!$C$13+(I29-Params!$C$13)*Params!$C$14))</f>
        <v>0</v>
      </c>
      <c r="K29" s="17">
        <f t="shared" si="2"/>
        <v>0</v>
      </c>
      <c r="L29" s="17">
        <f>ROUNDUP(13/7,0)</f>
        <v>2</v>
      </c>
    </row>
    <row r="30" spans="1:12" x14ac:dyDescent="0.4">
      <c r="A30" s="5">
        <v>14</v>
      </c>
      <c r="B30" s="16">
        <v>0</v>
      </c>
      <c r="C30" s="16">
        <v>0</v>
      </c>
      <c r="D30" s="16">
        <v>50</v>
      </c>
      <c r="E30" s="10">
        <f>B30*Params!$C$5+C30*Params!$C$6+D30*Params!$C$7</f>
        <v>75</v>
      </c>
      <c r="F30" s="10">
        <f t="shared" si="0"/>
        <v>41.154285714285713</v>
      </c>
      <c r="G30" s="10">
        <f>IF(F30&lt;=0,Params!$C$9,MIN(Params!$C$9,MAX(Params!$C$8,E30/F30)))</f>
        <v>1.5</v>
      </c>
      <c r="H30" s="10">
        <f>Params!$C$11</f>
        <v>1</v>
      </c>
      <c r="I30" s="10">
        <f t="shared" si="1"/>
        <v>112.5</v>
      </c>
      <c r="J30" s="10">
        <f>MIN(Params!$C$15,IF(I30&lt;=Params!$C$13,I30,Params!$C$13+(I30-Params!$C$13)*Params!$C$14))</f>
        <v>112.5</v>
      </c>
      <c r="K30" s="17">
        <f t="shared" si="2"/>
        <v>1</v>
      </c>
      <c r="L30" s="17">
        <f>ROUNDUP(14/7,0)</f>
        <v>2</v>
      </c>
    </row>
    <row r="31" spans="1:12" x14ac:dyDescent="0.4">
      <c r="A31" s="5">
        <v>15</v>
      </c>
      <c r="B31" s="16">
        <v>0</v>
      </c>
      <c r="C31" s="16">
        <v>0</v>
      </c>
      <c r="D31" s="16">
        <v>50</v>
      </c>
      <c r="E31" s="10">
        <f>B31*Params!$C$5+C31*Params!$C$6+D31*Params!$C$7</f>
        <v>75</v>
      </c>
      <c r="F31" s="10">
        <f t="shared" si="0"/>
        <v>43.392857142857146</v>
      </c>
      <c r="G31" s="10">
        <f>IF(F31&lt;=0,Params!$C$9,MIN(Params!$C$9,MAX(Params!$C$8,E31/F31)))</f>
        <v>1.5</v>
      </c>
      <c r="H31" s="10">
        <f>Params!$C$11</f>
        <v>1</v>
      </c>
      <c r="I31" s="10">
        <f t="shared" si="1"/>
        <v>112.5</v>
      </c>
      <c r="J31" s="10">
        <f>MIN(Params!$C$15,IF(I31&lt;=Params!$C$13,I31,Params!$C$13+(I31-Params!$C$13)*Params!$C$14))</f>
        <v>112.5</v>
      </c>
      <c r="K31" s="17">
        <f t="shared" si="2"/>
        <v>1</v>
      </c>
      <c r="L31" s="17">
        <f>ROUNDUP(15/7,0)</f>
        <v>3</v>
      </c>
    </row>
    <row r="32" spans="1:12" x14ac:dyDescent="0.4">
      <c r="A32" s="5">
        <v>16</v>
      </c>
      <c r="B32" s="16">
        <v>0</v>
      </c>
      <c r="C32" s="16">
        <v>0</v>
      </c>
      <c r="D32" s="16">
        <v>0</v>
      </c>
      <c r="E32" s="10">
        <f>B32*Params!$C$5+C32*Params!$C$6+D32*Params!$C$7</f>
        <v>0</v>
      </c>
      <c r="F32" s="10">
        <f t="shared" si="0"/>
        <v>43.392857142857146</v>
      </c>
      <c r="G32" s="10">
        <f>IF(F32&lt;=0,Params!$C$9,MIN(Params!$C$9,MAX(Params!$C$8,E32/F32)))</f>
        <v>0.8</v>
      </c>
      <c r="H32" s="10">
        <f>Params!$C$11</f>
        <v>1</v>
      </c>
      <c r="I32" s="10">
        <f t="shared" si="1"/>
        <v>0</v>
      </c>
      <c r="J32" s="10">
        <f>MIN(Params!$C$15,IF(I32&lt;=Params!$C$13,I32,Params!$C$13+(I32-Params!$C$13)*Params!$C$14))</f>
        <v>0</v>
      </c>
      <c r="K32" s="17">
        <f t="shared" si="2"/>
        <v>0</v>
      </c>
      <c r="L32" s="17">
        <f>ROUNDUP(16/7,0)</f>
        <v>3</v>
      </c>
    </row>
    <row r="33" spans="1:12" x14ac:dyDescent="0.4">
      <c r="A33" s="5">
        <v>17</v>
      </c>
      <c r="B33" s="16">
        <v>0</v>
      </c>
      <c r="C33" s="16">
        <v>0</v>
      </c>
      <c r="D33" s="16">
        <v>55</v>
      </c>
      <c r="E33" s="10">
        <f>B33*Params!$C$5+C33*Params!$C$6+D33*Params!$C$7</f>
        <v>82.5</v>
      </c>
      <c r="F33" s="10">
        <f t="shared" si="0"/>
        <v>43.392857142857146</v>
      </c>
      <c r="G33" s="10">
        <f>IF(F33&lt;=0,Params!$C$9,MIN(Params!$C$9,MAX(Params!$C$8,E33/F33)))</f>
        <v>1.5</v>
      </c>
      <c r="H33" s="10">
        <f>Params!$C$11</f>
        <v>1</v>
      </c>
      <c r="I33" s="10">
        <f t="shared" si="1"/>
        <v>123.75</v>
      </c>
      <c r="J33" s="10">
        <f>MIN(Params!$C$15,IF(I33&lt;=Params!$C$13,I33,Params!$C$13+(I33-Params!$C$13)*Params!$C$14))</f>
        <v>123.75</v>
      </c>
      <c r="K33" s="17">
        <f t="shared" si="2"/>
        <v>1</v>
      </c>
      <c r="L33" s="17">
        <f>ROUNDUP(17/7,0)</f>
        <v>3</v>
      </c>
    </row>
    <row r="34" spans="1:12" x14ac:dyDescent="0.4">
      <c r="A34" s="5">
        <v>18</v>
      </c>
      <c r="B34" s="16">
        <v>0</v>
      </c>
      <c r="C34" s="16">
        <v>0</v>
      </c>
      <c r="D34" s="16">
        <v>0</v>
      </c>
      <c r="E34" s="10">
        <f>B34*Params!$C$5+C34*Params!$C$6+D34*Params!$C$7</f>
        <v>0</v>
      </c>
      <c r="F34" s="10">
        <f t="shared" si="0"/>
        <v>43.928571428571431</v>
      </c>
      <c r="G34" s="10">
        <f>IF(F34&lt;=0,Params!$C$9,MIN(Params!$C$9,MAX(Params!$C$8,E34/F34)))</f>
        <v>0.8</v>
      </c>
      <c r="H34" s="10">
        <f>Params!$C$11</f>
        <v>1</v>
      </c>
      <c r="I34" s="10">
        <f t="shared" si="1"/>
        <v>0</v>
      </c>
      <c r="J34" s="10">
        <f>MIN(Params!$C$15,IF(I34&lt;=Params!$C$13,I34,Params!$C$13+(I34-Params!$C$13)*Params!$C$14))</f>
        <v>0</v>
      </c>
      <c r="K34" s="17">
        <f t="shared" si="2"/>
        <v>0</v>
      </c>
      <c r="L34" s="17">
        <f>ROUNDUP(18/7,0)</f>
        <v>3</v>
      </c>
    </row>
    <row r="35" spans="1:12" x14ac:dyDescent="0.4">
      <c r="A35" s="5">
        <v>19</v>
      </c>
      <c r="B35" s="16">
        <v>0</v>
      </c>
      <c r="C35" s="16">
        <v>0</v>
      </c>
      <c r="D35" s="16">
        <v>50</v>
      </c>
      <c r="E35" s="10">
        <f>B35*Params!$C$5+C35*Params!$C$6+D35*Params!$C$7</f>
        <v>75</v>
      </c>
      <c r="F35" s="10">
        <f t="shared" si="0"/>
        <v>43.928571428571431</v>
      </c>
      <c r="G35" s="10">
        <f>IF(F35&lt;=0,Params!$C$9,MIN(Params!$C$9,MAX(Params!$C$8,E35/F35)))</f>
        <v>1.5</v>
      </c>
      <c r="H35" s="10">
        <f>Params!$C$11</f>
        <v>1</v>
      </c>
      <c r="I35" s="10">
        <f t="shared" si="1"/>
        <v>112.5</v>
      </c>
      <c r="J35" s="10">
        <f>MIN(Params!$C$15,IF(I35&lt;=Params!$C$13,I35,Params!$C$13+(I35-Params!$C$13)*Params!$C$14))</f>
        <v>112.5</v>
      </c>
      <c r="K35" s="17">
        <f t="shared" si="2"/>
        <v>1</v>
      </c>
      <c r="L35" s="17">
        <f>ROUNDUP(19/7,0)</f>
        <v>3</v>
      </c>
    </row>
    <row r="36" spans="1:12" x14ac:dyDescent="0.4">
      <c r="A36" s="5">
        <v>20</v>
      </c>
      <c r="B36" s="16">
        <v>0</v>
      </c>
      <c r="C36" s="16">
        <v>0</v>
      </c>
      <c r="D36" s="16">
        <v>0</v>
      </c>
      <c r="E36" s="10">
        <f>B36*Params!$C$5+C36*Params!$C$6+D36*Params!$C$7</f>
        <v>0</v>
      </c>
      <c r="F36" s="10">
        <f t="shared" si="0"/>
        <v>43.392857142857146</v>
      </c>
      <c r="G36" s="10">
        <f>IF(F36&lt;=0,Params!$C$9,MIN(Params!$C$9,MAX(Params!$C$8,E36/F36)))</f>
        <v>0.8</v>
      </c>
      <c r="H36" s="10">
        <f>Params!$C$11</f>
        <v>1</v>
      </c>
      <c r="I36" s="10">
        <f t="shared" si="1"/>
        <v>0</v>
      </c>
      <c r="J36" s="10">
        <f>MIN(Params!$C$15,IF(I36&lt;=Params!$C$13,I36,Params!$C$13+(I36-Params!$C$13)*Params!$C$14))</f>
        <v>0</v>
      </c>
      <c r="K36" s="17">
        <f t="shared" si="2"/>
        <v>0</v>
      </c>
      <c r="L36" s="17">
        <f>ROUNDUP(20/7,0)</f>
        <v>3</v>
      </c>
    </row>
    <row r="37" spans="1:12" x14ac:dyDescent="0.4">
      <c r="A37" s="5">
        <v>21</v>
      </c>
      <c r="B37" s="16">
        <v>0</v>
      </c>
      <c r="C37" s="16">
        <v>0</v>
      </c>
      <c r="D37" s="16">
        <v>48</v>
      </c>
      <c r="E37" s="10">
        <f>B37*Params!$C$5+C37*Params!$C$6+D37*Params!$C$7</f>
        <v>72</v>
      </c>
      <c r="F37" s="10">
        <f t="shared" si="0"/>
        <v>43.392857142857146</v>
      </c>
      <c r="G37" s="10">
        <f>IF(F37&lt;=0,Params!$C$9,MIN(Params!$C$9,MAX(Params!$C$8,E37/F37)))</f>
        <v>1.5</v>
      </c>
      <c r="H37" s="10">
        <f>Params!$C$11</f>
        <v>1</v>
      </c>
      <c r="I37" s="10">
        <f t="shared" si="1"/>
        <v>108</v>
      </c>
      <c r="J37" s="10">
        <f>MIN(Params!$C$15,IF(I37&lt;=Params!$C$13,I37,Params!$C$13+(I37-Params!$C$13)*Params!$C$14))</f>
        <v>108</v>
      </c>
      <c r="K37" s="17">
        <f t="shared" si="2"/>
        <v>1</v>
      </c>
      <c r="L37" s="17">
        <f>ROUNDUP(21/7,0)</f>
        <v>3</v>
      </c>
    </row>
    <row r="38" spans="1:12" x14ac:dyDescent="0.4">
      <c r="A38" s="5">
        <v>22</v>
      </c>
      <c r="B38" s="16">
        <v>0</v>
      </c>
      <c r="C38" s="16">
        <v>0</v>
      </c>
      <c r="D38" s="16">
        <v>55</v>
      </c>
      <c r="E38" s="10">
        <f>B38*Params!$C$5+C38*Params!$C$6+D38*Params!$C$7</f>
        <v>82.5</v>
      </c>
      <c r="F38" s="10">
        <f t="shared" si="0"/>
        <v>43.714285714285715</v>
      </c>
      <c r="G38" s="10">
        <f>IF(F38&lt;=0,Params!$C$9,MIN(Params!$C$9,MAX(Params!$C$8,E38/F38)))</f>
        <v>1.5</v>
      </c>
      <c r="H38" s="10">
        <f>Params!$C$11</f>
        <v>1</v>
      </c>
      <c r="I38" s="10">
        <f t="shared" si="1"/>
        <v>123.75</v>
      </c>
      <c r="J38" s="10">
        <f>MIN(Params!$C$15,IF(I38&lt;=Params!$C$13,I38,Params!$C$13+(I38-Params!$C$13)*Params!$C$14))</f>
        <v>123.75</v>
      </c>
      <c r="K38" s="17">
        <f t="shared" si="2"/>
        <v>1</v>
      </c>
      <c r="L38" s="17">
        <f>ROUNDUP(22/7,0)</f>
        <v>4</v>
      </c>
    </row>
    <row r="39" spans="1:12" x14ac:dyDescent="0.4">
      <c r="A39" s="5">
        <v>23</v>
      </c>
      <c r="B39" s="16">
        <v>0</v>
      </c>
      <c r="C39" s="16">
        <v>0</v>
      </c>
      <c r="D39" s="16">
        <v>0</v>
      </c>
      <c r="E39" s="10">
        <f>B39*Params!$C$5+C39*Params!$C$6+D39*Params!$C$7</f>
        <v>0</v>
      </c>
      <c r="F39" s="10">
        <f t="shared" si="0"/>
        <v>44.035714285714285</v>
      </c>
      <c r="G39" s="10">
        <f>IF(F39&lt;=0,Params!$C$9,MIN(Params!$C$9,MAX(Params!$C$8,E39/F39)))</f>
        <v>0.8</v>
      </c>
      <c r="H39" s="10">
        <f>Params!$C$11</f>
        <v>1</v>
      </c>
      <c r="I39" s="10">
        <f t="shared" si="1"/>
        <v>0</v>
      </c>
      <c r="J39" s="10">
        <f>MIN(Params!$C$15,IF(I39&lt;=Params!$C$13,I39,Params!$C$13+(I39-Params!$C$13)*Params!$C$14))</f>
        <v>0</v>
      </c>
      <c r="K39" s="17">
        <f t="shared" si="2"/>
        <v>0</v>
      </c>
      <c r="L39" s="17">
        <f>ROUNDUP(23/7,0)</f>
        <v>4</v>
      </c>
    </row>
    <row r="40" spans="1:12" x14ac:dyDescent="0.4">
      <c r="A40" s="5">
        <v>24</v>
      </c>
      <c r="B40" s="16">
        <v>0</v>
      </c>
      <c r="C40" s="16">
        <v>0</v>
      </c>
      <c r="D40" s="16">
        <v>50</v>
      </c>
      <c r="E40" s="10">
        <f>B40*Params!$C$5+C40*Params!$C$6+D40*Params!$C$7</f>
        <v>75</v>
      </c>
      <c r="F40" s="10">
        <f t="shared" si="0"/>
        <v>44.035714285714285</v>
      </c>
      <c r="G40" s="10">
        <f>IF(F40&lt;=0,Params!$C$9,MIN(Params!$C$9,MAX(Params!$C$8,E40/F40)))</f>
        <v>1.5</v>
      </c>
      <c r="H40" s="10">
        <f>Params!$C$11</f>
        <v>1</v>
      </c>
      <c r="I40" s="10">
        <f t="shared" si="1"/>
        <v>112.5</v>
      </c>
      <c r="J40" s="10">
        <f>MIN(Params!$C$15,IF(I40&lt;=Params!$C$13,I40,Params!$C$13+(I40-Params!$C$13)*Params!$C$14))</f>
        <v>112.5</v>
      </c>
      <c r="K40" s="17">
        <f t="shared" si="2"/>
        <v>1</v>
      </c>
      <c r="L40" s="17">
        <f>ROUNDUP(24/7,0)</f>
        <v>4</v>
      </c>
    </row>
    <row r="41" spans="1:12" x14ac:dyDescent="0.4">
      <c r="A41" s="5">
        <v>25</v>
      </c>
      <c r="B41" s="16">
        <v>0</v>
      </c>
      <c r="C41" s="16">
        <v>0</v>
      </c>
      <c r="D41" s="16">
        <v>0</v>
      </c>
      <c r="E41" s="10">
        <f>B41*Params!$C$5+C41*Params!$C$6+D41*Params!$C$7</f>
        <v>0</v>
      </c>
      <c r="F41" s="10">
        <f t="shared" si="0"/>
        <v>44.25</v>
      </c>
      <c r="G41" s="10">
        <f>IF(F41&lt;=0,Params!$C$9,MIN(Params!$C$9,MAX(Params!$C$8,E41/F41)))</f>
        <v>0.8</v>
      </c>
      <c r="H41" s="10">
        <f>Params!$C$11</f>
        <v>1</v>
      </c>
      <c r="I41" s="10">
        <f t="shared" si="1"/>
        <v>0</v>
      </c>
      <c r="J41" s="10">
        <f>MIN(Params!$C$15,IF(I41&lt;=Params!$C$13,I41,Params!$C$13+(I41-Params!$C$13)*Params!$C$14))</f>
        <v>0</v>
      </c>
      <c r="K41" s="17">
        <f t="shared" si="2"/>
        <v>0</v>
      </c>
      <c r="L41" s="17">
        <f>ROUNDUP(25/7,0)</f>
        <v>4</v>
      </c>
    </row>
    <row r="42" spans="1:12" x14ac:dyDescent="0.4">
      <c r="A42" s="5">
        <v>26</v>
      </c>
      <c r="B42" s="16">
        <v>0</v>
      </c>
      <c r="C42" s="16">
        <v>0</v>
      </c>
      <c r="D42" s="16">
        <v>52</v>
      </c>
      <c r="E42" s="10">
        <f>B42*Params!$C$5+C42*Params!$C$6+D42*Params!$C$7</f>
        <v>78</v>
      </c>
      <c r="F42" s="10">
        <f t="shared" si="0"/>
        <v>44.25</v>
      </c>
      <c r="G42" s="10">
        <f>IF(F42&lt;=0,Params!$C$9,MIN(Params!$C$9,MAX(Params!$C$8,E42/F42)))</f>
        <v>1.5</v>
      </c>
      <c r="H42" s="10">
        <f>Params!$C$11</f>
        <v>1</v>
      </c>
      <c r="I42" s="10">
        <f t="shared" si="1"/>
        <v>117</v>
      </c>
      <c r="J42" s="10">
        <f>MIN(Params!$C$15,IF(I42&lt;=Params!$C$13,I42,Params!$C$13+(I42-Params!$C$13)*Params!$C$14))</f>
        <v>117</v>
      </c>
      <c r="K42" s="17">
        <f t="shared" si="2"/>
        <v>1</v>
      </c>
      <c r="L42" s="17">
        <f>ROUNDUP(26/7,0)</f>
        <v>4</v>
      </c>
    </row>
    <row r="43" spans="1:12" x14ac:dyDescent="0.4">
      <c r="A43" s="5">
        <v>27</v>
      </c>
      <c r="B43" s="16">
        <v>0</v>
      </c>
      <c r="C43" s="16">
        <v>0</v>
      </c>
      <c r="D43" s="16">
        <v>0</v>
      </c>
      <c r="E43" s="10">
        <f>B43*Params!$C$5+C43*Params!$C$6+D43*Params!$C$7</f>
        <v>0</v>
      </c>
      <c r="F43" s="10">
        <f t="shared" si="0"/>
        <v>43.928571428571431</v>
      </c>
      <c r="G43" s="10">
        <f>IF(F43&lt;=0,Params!$C$9,MIN(Params!$C$9,MAX(Params!$C$8,E43/F43)))</f>
        <v>0.8</v>
      </c>
      <c r="H43" s="10">
        <f>Params!$C$11</f>
        <v>1</v>
      </c>
      <c r="I43" s="10">
        <f t="shared" si="1"/>
        <v>0</v>
      </c>
      <c r="J43" s="10">
        <f>MIN(Params!$C$15,IF(I43&lt;=Params!$C$13,I43,Params!$C$13+(I43-Params!$C$13)*Params!$C$14))</f>
        <v>0</v>
      </c>
      <c r="K43" s="17">
        <f t="shared" si="2"/>
        <v>0</v>
      </c>
      <c r="L43" s="17">
        <f>ROUNDUP(27/7,0)</f>
        <v>4</v>
      </c>
    </row>
    <row r="44" spans="1:12" x14ac:dyDescent="0.4">
      <c r="A44" s="5">
        <v>28</v>
      </c>
      <c r="B44" s="16">
        <v>0</v>
      </c>
      <c r="C44" s="16">
        <v>0</v>
      </c>
      <c r="D44" s="16">
        <v>50</v>
      </c>
      <c r="E44" s="10">
        <f>B44*Params!$C$5+C44*Params!$C$6+D44*Params!$C$7</f>
        <v>75</v>
      </c>
      <c r="F44" s="10">
        <f t="shared" si="0"/>
        <v>43.928571428571431</v>
      </c>
      <c r="G44" s="10">
        <f>IF(F44&lt;=0,Params!$C$9,MIN(Params!$C$9,MAX(Params!$C$8,E44/F44)))</f>
        <v>1.5</v>
      </c>
      <c r="H44" s="10">
        <f>Params!$C$11</f>
        <v>1</v>
      </c>
      <c r="I44" s="10">
        <f t="shared" si="1"/>
        <v>112.5</v>
      </c>
      <c r="J44" s="10">
        <f>MIN(Params!$C$15,IF(I44&lt;=Params!$C$13,I44,Params!$C$13+(I44-Params!$C$13)*Params!$C$14))</f>
        <v>112.5</v>
      </c>
      <c r="K44" s="17">
        <f t="shared" si="2"/>
        <v>1</v>
      </c>
      <c r="L44" s="17">
        <f>ROUNDUP(28/7,0)</f>
        <v>4</v>
      </c>
    </row>
    <row r="46" spans="1:12" x14ac:dyDescent="0.4">
      <c r="A46" s="8" t="s">
        <v>87</v>
      </c>
    </row>
    <row r="47" spans="1:12" x14ac:dyDescent="0.4">
      <c r="A47" s="3" t="s">
        <v>88</v>
      </c>
      <c r="B47" s="3" t="s">
        <v>89</v>
      </c>
      <c r="C47" s="3" t="s">
        <v>90</v>
      </c>
      <c r="D47" s="3" t="s">
        <v>91</v>
      </c>
      <c r="E47" s="3" t="s">
        <v>92</v>
      </c>
      <c r="F47" s="3" t="s">
        <v>93</v>
      </c>
      <c r="G47" s="3" t="s">
        <v>94</v>
      </c>
      <c r="H47" s="3" t="s">
        <v>95</v>
      </c>
    </row>
    <row r="48" spans="1:12" x14ac:dyDescent="0.4">
      <c r="A48" s="5">
        <v>1</v>
      </c>
      <c r="B48" s="5">
        <f>SUMIFS(K17:K44,L17:L44,1)</f>
        <v>4</v>
      </c>
      <c r="C48" s="5">
        <f>7-B48</f>
        <v>3</v>
      </c>
      <c r="D48" s="5">
        <f>IF(AND(B48&gt;=Params!$C$16,C48&gt;=Params!$C$17),1+Params!$C$18,1)</f>
        <v>1.1499999999999999</v>
      </c>
      <c r="E48" s="5">
        <f>SUMIFS(J17:J44,L17:L44,1)</f>
        <v>450</v>
      </c>
      <c r="F48" s="5">
        <f>E48*D48</f>
        <v>517.5</v>
      </c>
      <c r="G48" s="5">
        <f>F48</f>
        <v>517.5</v>
      </c>
      <c r="H48" s="5">
        <f>(G48/Params!$C$19)^(1/Params!$C$20)</f>
        <v>2.9918528949213421</v>
      </c>
    </row>
    <row r="49" spans="1:8" x14ac:dyDescent="0.4">
      <c r="A49" s="5">
        <v>2</v>
      </c>
      <c r="B49" s="5">
        <f>SUMIFS(K17:K44,L17:L44,2)</f>
        <v>4</v>
      </c>
      <c r="C49" s="5">
        <f>7-B49</f>
        <v>3</v>
      </c>
      <c r="D49" s="5">
        <f>IF(AND(B49&gt;=Params!$C$16,C49&gt;=Params!$C$17),1+Params!$C$18,1)</f>
        <v>1.1499999999999999</v>
      </c>
      <c r="E49" s="5">
        <f>SUMIFS(J17:J44,L17:L44,2)</f>
        <v>461.25</v>
      </c>
      <c r="F49" s="5">
        <f>E49*D49</f>
        <v>530.4375</v>
      </c>
      <c r="G49" s="5">
        <f>G48+F49</f>
        <v>1047.9375</v>
      </c>
      <c r="H49" s="5">
        <f>(G49/Params!$C$19)^(1/Params!$C$20)</f>
        <v>4.7887656884842196</v>
      </c>
    </row>
    <row r="50" spans="1:8" x14ac:dyDescent="0.4">
      <c r="A50" s="5">
        <v>3</v>
      </c>
      <c r="B50" s="5">
        <f>SUMIFS(K17:K44,L17:L44,3)</f>
        <v>4</v>
      </c>
      <c r="C50" s="5">
        <f>7-B50</f>
        <v>3</v>
      </c>
      <c r="D50" s="5">
        <f>IF(AND(B50&gt;=Params!$C$16,C50&gt;=Params!$C$17),1+Params!$C$18,1)</f>
        <v>1.1499999999999999</v>
      </c>
      <c r="E50" s="5">
        <f>SUMIFS(J17:J44,L17:L44,3)</f>
        <v>456.75</v>
      </c>
      <c r="F50" s="5">
        <f>E50*D50</f>
        <v>525.26249999999993</v>
      </c>
      <c r="G50" s="5">
        <f>G49+F50</f>
        <v>1573.1999999999998</v>
      </c>
      <c r="H50" s="5">
        <f>(G50/Params!$C$19)^(1/Params!$C$20)</f>
        <v>6.2785008660113144</v>
      </c>
    </row>
    <row r="51" spans="1:8" x14ac:dyDescent="0.4">
      <c r="A51" s="5">
        <v>4</v>
      </c>
      <c r="B51" s="5">
        <f>SUMIFS(K17:K44,L17:L44,4)</f>
        <v>4</v>
      </c>
      <c r="C51" s="5">
        <f>7-B51</f>
        <v>3</v>
      </c>
      <c r="D51" s="5">
        <f>IF(AND(B51&gt;=Params!$C$16,C51&gt;=Params!$C$17),1+Params!$C$18,1)</f>
        <v>1.1499999999999999</v>
      </c>
      <c r="E51" s="5">
        <f>SUMIFS(J17:J44,L17:L44,4)</f>
        <v>465.75</v>
      </c>
      <c r="F51" s="5">
        <f>E51*D51</f>
        <v>535.61249999999995</v>
      </c>
      <c r="G51" s="5">
        <f>G50+F51</f>
        <v>2108.8125</v>
      </c>
      <c r="H51" s="5">
        <f>(G51/Params!$C$19)^(1/Params!$C$20)</f>
        <v>7.632942277537337</v>
      </c>
    </row>
  </sheetData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1"/>
  <sheetViews>
    <sheetView workbookViewId="0">
      <pane ySplit="16" topLeftCell="A17" activePane="bottomLeft" state="frozen"/>
      <selection pane="bottomLeft"/>
    </sheetView>
  </sheetViews>
  <sheetFormatPr defaultRowHeight="17.399999999999999" x14ac:dyDescent="0.4"/>
  <cols>
    <col min="1" max="4" width="9" customWidth="1"/>
    <col min="5" max="5" width="11" customWidth="1"/>
    <col min="6" max="8" width="10" customWidth="1"/>
    <col min="9" max="10" width="9" customWidth="1"/>
    <col min="11" max="12" width="7" customWidth="1"/>
  </cols>
  <sheetData>
    <row r="1" spans="1:12" ht="18" customHeight="1" x14ac:dyDescent="0.4">
      <c r="A1" s="1" t="s">
        <v>99</v>
      </c>
    </row>
    <row r="2" spans="1:12" x14ac:dyDescent="0.4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  <c r="L2" s="3" t="s">
        <v>72</v>
      </c>
    </row>
    <row r="3" spans="1:12" x14ac:dyDescent="0.4">
      <c r="A3" s="13" t="s">
        <v>73</v>
      </c>
      <c r="B3" s="14"/>
      <c r="C3" s="14"/>
      <c r="D3" s="14"/>
      <c r="E3" s="15">
        <v>29.73</v>
      </c>
      <c r="F3" s="14"/>
      <c r="G3" s="14"/>
      <c r="H3" s="14"/>
      <c r="I3" s="14"/>
      <c r="J3" s="14"/>
      <c r="K3" s="14"/>
      <c r="L3" s="14"/>
    </row>
    <row r="4" spans="1:12" x14ac:dyDescent="0.4">
      <c r="A4" s="13" t="s">
        <v>74</v>
      </c>
      <c r="B4" s="14"/>
      <c r="C4" s="14"/>
      <c r="D4" s="14"/>
      <c r="E4" s="15">
        <v>29.73</v>
      </c>
      <c r="F4" s="14"/>
      <c r="G4" s="14"/>
      <c r="H4" s="14"/>
      <c r="I4" s="14"/>
      <c r="J4" s="14"/>
      <c r="K4" s="14"/>
      <c r="L4" s="14"/>
    </row>
    <row r="5" spans="1:12" x14ac:dyDescent="0.4">
      <c r="A5" s="13" t="s">
        <v>75</v>
      </c>
      <c r="B5" s="14"/>
      <c r="C5" s="14"/>
      <c r="D5" s="14"/>
      <c r="E5" s="15">
        <v>29.73</v>
      </c>
      <c r="F5" s="14"/>
      <c r="G5" s="14"/>
      <c r="H5" s="14"/>
      <c r="I5" s="14"/>
      <c r="J5" s="14"/>
      <c r="K5" s="14"/>
      <c r="L5" s="14"/>
    </row>
    <row r="6" spans="1:12" x14ac:dyDescent="0.4">
      <c r="A6" s="13" t="s">
        <v>76</v>
      </c>
      <c r="B6" s="14"/>
      <c r="C6" s="14"/>
      <c r="D6" s="14"/>
      <c r="E6" s="15">
        <v>29.73</v>
      </c>
      <c r="F6" s="14"/>
      <c r="G6" s="14"/>
      <c r="H6" s="14"/>
      <c r="I6" s="14"/>
      <c r="J6" s="14"/>
      <c r="K6" s="14"/>
      <c r="L6" s="14"/>
    </row>
    <row r="7" spans="1:12" x14ac:dyDescent="0.4">
      <c r="A7" s="13" t="s">
        <v>77</v>
      </c>
      <c r="B7" s="14"/>
      <c r="C7" s="14"/>
      <c r="D7" s="14"/>
      <c r="E7" s="15">
        <v>29.73</v>
      </c>
      <c r="F7" s="14"/>
      <c r="G7" s="14"/>
      <c r="H7" s="14"/>
      <c r="I7" s="14"/>
      <c r="J7" s="14"/>
      <c r="K7" s="14"/>
      <c r="L7" s="14"/>
    </row>
    <row r="8" spans="1:12" x14ac:dyDescent="0.4">
      <c r="A8" s="13" t="s">
        <v>78</v>
      </c>
      <c r="B8" s="14"/>
      <c r="C8" s="14"/>
      <c r="D8" s="14"/>
      <c r="E8" s="15">
        <v>29.73</v>
      </c>
      <c r="F8" s="14"/>
      <c r="G8" s="14"/>
      <c r="H8" s="14"/>
      <c r="I8" s="14"/>
      <c r="J8" s="14"/>
      <c r="K8" s="14"/>
      <c r="L8" s="14"/>
    </row>
    <row r="9" spans="1:12" x14ac:dyDescent="0.4">
      <c r="A9" s="13" t="s">
        <v>79</v>
      </c>
      <c r="B9" s="14"/>
      <c r="C9" s="14"/>
      <c r="D9" s="14"/>
      <c r="E9" s="15">
        <v>29.73</v>
      </c>
      <c r="F9" s="14"/>
      <c r="G9" s="14"/>
      <c r="H9" s="14"/>
      <c r="I9" s="14"/>
      <c r="J9" s="14"/>
      <c r="K9" s="14"/>
      <c r="L9" s="14"/>
    </row>
    <row r="10" spans="1:12" x14ac:dyDescent="0.4">
      <c r="A10" s="13" t="s">
        <v>80</v>
      </c>
      <c r="B10" s="14"/>
      <c r="C10" s="14"/>
      <c r="D10" s="14"/>
      <c r="E10" s="15">
        <v>29.73</v>
      </c>
      <c r="F10" s="14"/>
      <c r="G10" s="14"/>
      <c r="H10" s="14"/>
      <c r="I10" s="14"/>
      <c r="J10" s="14"/>
      <c r="K10" s="14"/>
      <c r="L10" s="14"/>
    </row>
    <row r="11" spans="1:12" x14ac:dyDescent="0.4">
      <c r="A11" s="13" t="s">
        <v>81</v>
      </c>
      <c r="B11" s="14"/>
      <c r="C11" s="14"/>
      <c r="D11" s="14"/>
      <c r="E11" s="15">
        <v>29.73</v>
      </c>
      <c r="F11" s="14"/>
      <c r="G11" s="14"/>
      <c r="H11" s="14"/>
      <c r="I11" s="14"/>
      <c r="J11" s="14"/>
      <c r="K11" s="14"/>
      <c r="L11" s="14"/>
    </row>
    <row r="12" spans="1:12" x14ac:dyDescent="0.4">
      <c r="A12" s="13" t="s">
        <v>82</v>
      </c>
      <c r="B12" s="14"/>
      <c r="C12" s="14"/>
      <c r="D12" s="14"/>
      <c r="E12" s="15">
        <v>29.73</v>
      </c>
      <c r="F12" s="14"/>
      <c r="G12" s="14"/>
      <c r="H12" s="14"/>
      <c r="I12" s="14"/>
      <c r="J12" s="14"/>
      <c r="K12" s="14"/>
      <c r="L12" s="14"/>
    </row>
    <row r="13" spans="1:12" x14ac:dyDescent="0.4">
      <c r="A13" s="13" t="s">
        <v>83</v>
      </c>
      <c r="B13" s="14"/>
      <c r="C13" s="14"/>
      <c r="D13" s="14"/>
      <c r="E13" s="15">
        <v>29.73</v>
      </c>
      <c r="F13" s="14"/>
      <c r="G13" s="14"/>
      <c r="H13" s="14"/>
      <c r="I13" s="14"/>
      <c r="J13" s="14"/>
      <c r="K13" s="14"/>
      <c r="L13" s="14"/>
    </row>
    <row r="14" spans="1:12" x14ac:dyDescent="0.4">
      <c r="A14" s="13" t="s">
        <v>84</v>
      </c>
      <c r="B14" s="14"/>
      <c r="C14" s="14"/>
      <c r="D14" s="14"/>
      <c r="E14" s="15">
        <v>29.73</v>
      </c>
      <c r="F14" s="14"/>
      <c r="G14" s="14"/>
      <c r="H14" s="14"/>
      <c r="I14" s="14"/>
      <c r="J14" s="14"/>
      <c r="K14" s="14"/>
      <c r="L14" s="14"/>
    </row>
    <row r="15" spans="1:12" x14ac:dyDescent="0.4">
      <c r="A15" s="13" t="s">
        <v>85</v>
      </c>
      <c r="B15" s="14"/>
      <c r="C15" s="14"/>
      <c r="D15" s="14"/>
      <c r="E15" s="15">
        <v>29.73</v>
      </c>
      <c r="F15" s="14"/>
      <c r="G15" s="14"/>
      <c r="H15" s="14"/>
      <c r="I15" s="14"/>
      <c r="J15" s="14"/>
      <c r="K15" s="14"/>
      <c r="L15" s="14"/>
    </row>
    <row r="16" spans="1:12" x14ac:dyDescent="0.4">
      <c r="A16" s="13" t="s">
        <v>86</v>
      </c>
      <c r="B16" s="14"/>
      <c r="C16" s="14"/>
      <c r="D16" s="14"/>
      <c r="E16" s="15">
        <v>29.73</v>
      </c>
      <c r="F16" s="14"/>
      <c r="G16" s="14"/>
      <c r="H16" s="14"/>
      <c r="I16" s="14"/>
      <c r="J16" s="14"/>
      <c r="K16" s="14"/>
      <c r="L16" s="14"/>
    </row>
    <row r="17" spans="1:12" x14ac:dyDescent="0.4">
      <c r="A17" s="5">
        <v>1</v>
      </c>
      <c r="B17" s="16">
        <v>0</v>
      </c>
      <c r="C17" s="16">
        <v>60</v>
      </c>
      <c r="D17" s="16">
        <v>0</v>
      </c>
      <c r="E17" s="10">
        <f>B17*Params!$C$5+C17*Params!$C$6+D17*Params!$C$7</f>
        <v>120</v>
      </c>
      <c r="F17" s="10">
        <f t="shared" ref="F17:F44" si="0">AVERAGE(E3:E16)</f>
        <v>29.730000000000008</v>
      </c>
      <c r="G17" s="10">
        <f>IF(F17&lt;=0,Params!$C$9,MIN(Params!$C$9,MAX(Params!$C$8,E17/F17)))</f>
        <v>1.5</v>
      </c>
      <c r="H17" s="10">
        <f>Params!$C$12</f>
        <v>0.85</v>
      </c>
      <c r="I17" s="10">
        <f t="shared" ref="I17:I44" si="1">E17*G17*H17</f>
        <v>153</v>
      </c>
      <c r="J17" s="10">
        <f>MIN(Params!$C$15,IF(I17&lt;=Params!$C$13,I17,Params!$C$13+(I17-Params!$C$13)*Params!$C$14))</f>
        <v>153</v>
      </c>
      <c r="K17" s="17">
        <f t="shared" ref="K17:K44" si="2">IF(E17&gt;0,1,0)</f>
        <v>1</v>
      </c>
      <c r="L17" s="17">
        <f>ROUNDUP(1/7,0)</f>
        <v>1</v>
      </c>
    </row>
    <row r="18" spans="1:12" x14ac:dyDescent="0.4">
      <c r="A18" s="5">
        <v>2</v>
      </c>
      <c r="B18" s="16">
        <v>0</v>
      </c>
      <c r="C18" s="16">
        <v>0</v>
      </c>
      <c r="D18" s="16">
        <v>45</v>
      </c>
      <c r="E18" s="10">
        <f>B18*Params!$C$5+C18*Params!$C$6+D18*Params!$C$7</f>
        <v>67.5</v>
      </c>
      <c r="F18" s="10">
        <f t="shared" si="0"/>
        <v>36.17785714285715</v>
      </c>
      <c r="G18" s="10">
        <f>IF(F18&lt;=0,Params!$C$9,MIN(Params!$C$9,MAX(Params!$C$8,E18/F18)))</f>
        <v>1.5</v>
      </c>
      <c r="H18" s="10">
        <f>Params!$C$12</f>
        <v>0.85</v>
      </c>
      <c r="I18" s="10">
        <f t="shared" si="1"/>
        <v>86.0625</v>
      </c>
      <c r="J18" s="10">
        <f>MIN(Params!$C$15,IF(I18&lt;=Params!$C$13,I18,Params!$C$13+(I18-Params!$C$13)*Params!$C$14))</f>
        <v>86.0625</v>
      </c>
      <c r="K18" s="17">
        <f t="shared" si="2"/>
        <v>1</v>
      </c>
      <c r="L18" s="17">
        <f>ROUNDUP(2/7,0)</f>
        <v>1</v>
      </c>
    </row>
    <row r="19" spans="1:12" x14ac:dyDescent="0.4">
      <c r="A19" s="5">
        <v>3</v>
      </c>
      <c r="B19" s="16">
        <v>0</v>
      </c>
      <c r="C19" s="16">
        <v>50</v>
      </c>
      <c r="D19" s="16">
        <v>0</v>
      </c>
      <c r="E19" s="10">
        <f>B19*Params!$C$5+C19*Params!$C$6+D19*Params!$C$7</f>
        <v>100</v>
      </c>
      <c r="F19" s="10">
        <f t="shared" si="0"/>
        <v>38.875714285714288</v>
      </c>
      <c r="G19" s="10">
        <f>IF(F19&lt;=0,Params!$C$9,MIN(Params!$C$9,MAX(Params!$C$8,E19/F19)))</f>
        <v>1.5</v>
      </c>
      <c r="H19" s="10">
        <f>Params!$C$12</f>
        <v>0.85</v>
      </c>
      <c r="I19" s="10">
        <f t="shared" si="1"/>
        <v>127.5</v>
      </c>
      <c r="J19" s="10">
        <f>MIN(Params!$C$15,IF(I19&lt;=Params!$C$13,I19,Params!$C$13+(I19-Params!$C$13)*Params!$C$14))</f>
        <v>127.5</v>
      </c>
      <c r="K19" s="17">
        <f t="shared" si="2"/>
        <v>1</v>
      </c>
      <c r="L19" s="17">
        <f>ROUNDUP(3/7,0)</f>
        <v>1</v>
      </c>
    </row>
    <row r="20" spans="1:12" x14ac:dyDescent="0.4">
      <c r="A20" s="5">
        <v>4</v>
      </c>
      <c r="B20" s="16">
        <v>0</v>
      </c>
      <c r="C20" s="16">
        <v>0</v>
      </c>
      <c r="D20" s="16">
        <v>0</v>
      </c>
      <c r="E20" s="10">
        <f>B20*Params!$C$5+C20*Params!$C$6+D20*Params!$C$7</f>
        <v>0</v>
      </c>
      <c r="F20" s="10">
        <f t="shared" si="0"/>
        <v>43.894999999999996</v>
      </c>
      <c r="G20" s="10">
        <f>IF(F20&lt;=0,Params!$C$9,MIN(Params!$C$9,MAX(Params!$C$8,E20/F20)))</f>
        <v>0.8</v>
      </c>
      <c r="H20" s="10">
        <f>Params!$C$12</f>
        <v>0.85</v>
      </c>
      <c r="I20" s="10">
        <f t="shared" si="1"/>
        <v>0</v>
      </c>
      <c r="J20" s="10">
        <f>MIN(Params!$C$15,IF(I20&lt;=Params!$C$13,I20,Params!$C$13+(I20-Params!$C$13)*Params!$C$14))</f>
        <v>0</v>
      </c>
      <c r="K20" s="17">
        <f t="shared" si="2"/>
        <v>0</v>
      </c>
      <c r="L20" s="17">
        <f>ROUNDUP(4/7,0)</f>
        <v>1</v>
      </c>
    </row>
    <row r="21" spans="1:12" x14ac:dyDescent="0.4">
      <c r="A21" s="5">
        <v>5</v>
      </c>
      <c r="B21" s="16">
        <v>0</v>
      </c>
      <c r="C21" s="16">
        <v>0</v>
      </c>
      <c r="D21" s="16">
        <v>0</v>
      </c>
      <c r="E21" s="10">
        <f>B21*Params!$C$5+C21*Params!$C$6+D21*Params!$C$7</f>
        <v>0</v>
      </c>
      <c r="F21" s="10">
        <f t="shared" si="0"/>
        <v>41.771428571428565</v>
      </c>
      <c r="G21" s="10">
        <f>IF(F21&lt;=0,Params!$C$9,MIN(Params!$C$9,MAX(Params!$C$8,E21/F21)))</f>
        <v>0.8</v>
      </c>
      <c r="H21" s="10">
        <f>Params!$C$12</f>
        <v>0.85</v>
      </c>
      <c r="I21" s="10">
        <f t="shared" si="1"/>
        <v>0</v>
      </c>
      <c r="J21" s="10">
        <f>MIN(Params!$C$15,IF(I21&lt;=Params!$C$13,I21,Params!$C$13+(I21-Params!$C$13)*Params!$C$14))</f>
        <v>0</v>
      </c>
      <c r="K21" s="17">
        <f t="shared" si="2"/>
        <v>0</v>
      </c>
      <c r="L21" s="17">
        <f>ROUNDUP(5/7,0)</f>
        <v>1</v>
      </c>
    </row>
    <row r="22" spans="1:12" x14ac:dyDescent="0.4">
      <c r="A22" s="5">
        <v>6</v>
      </c>
      <c r="B22" s="16">
        <v>30</v>
      </c>
      <c r="C22" s="16">
        <v>0</v>
      </c>
      <c r="D22" s="16">
        <v>0</v>
      </c>
      <c r="E22" s="10">
        <f>B22*Params!$C$5+C22*Params!$C$6+D22*Params!$C$7</f>
        <v>30</v>
      </c>
      <c r="F22" s="10">
        <f t="shared" si="0"/>
        <v>39.647857142857141</v>
      </c>
      <c r="G22" s="10">
        <f>IF(F22&lt;=0,Params!$C$9,MIN(Params!$C$9,MAX(Params!$C$8,E22/F22)))</f>
        <v>0.8</v>
      </c>
      <c r="H22" s="10">
        <f>Params!$C$12</f>
        <v>0.85</v>
      </c>
      <c r="I22" s="10">
        <f t="shared" si="1"/>
        <v>20.399999999999999</v>
      </c>
      <c r="J22" s="10">
        <f>MIN(Params!$C$15,IF(I22&lt;=Params!$C$13,I22,Params!$C$13+(I22-Params!$C$13)*Params!$C$14))</f>
        <v>20.399999999999999</v>
      </c>
      <c r="K22" s="17">
        <f t="shared" si="2"/>
        <v>1</v>
      </c>
      <c r="L22" s="17">
        <f>ROUNDUP(6/7,0)</f>
        <v>1</v>
      </c>
    </row>
    <row r="23" spans="1:12" x14ac:dyDescent="0.4">
      <c r="A23" s="5">
        <v>7</v>
      </c>
      <c r="B23" s="16">
        <v>0</v>
      </c>
      <c r="C23" s="16">
        <v>0</v>
      </c>
      <c r="D23" s="16">
        <v>0</v>
      </c>
      <c r="E23" s="10">
        <f>B23*Params!$C$5+C23*Params!$C$6+D23*Params!$C$7</f>
        <v>0</v>
      </c>
      <c r="F23" s="10">
        <f t="shared" si="0"/>
        <v>39.667142857142849</v>
      </c>
      <c r="G23" s="10">
        <f>IF(F23&lt;=0,Params!$C$9,MIN(Params!$C$9,MAX(Params!$C$8,E23/F23)))</f>
        <v>0.8</v>
      </c>
      <c r="H23" s="10">
        <f>Params!$C$12</f>
        <v>0.85</v>
      </c>
      <c r="I23" s="10">
        <f t="shared" si="1"/>
        <v>0</v>
      </c>
      <c r="J23" s="10">
        <f>MIN(Params!$C$15,IF(I23&lt;=Params!$C$13,I23,Params!$C$13+(I23-Params!$C$13)*Params!$C$14))</f>
        <v>0</v>
      </c>
      <c r="K23" s="17">
        <f t="shared" si="2"/>
        <v>0</v>
      </c>
      <c r="L23" s="17">
        <f>ROUNDUP(7/7,0)</f>
        <v>1</v>
      </c>
    </row>
    <row r="24" spans="1:12" x14ac:dyDescent="0.4">
      <c r="A24" s="5">
        <v>8</v>
      </c>
      <c r="B24" s="16">
        <v>0</v>
      </c>
      <c r="C24" s="16">
        <v>0</v>
      </c>
      <c r="D24" s="16">
        <v>0</v>
      </c>
      <c r="E24" s="10">
        <f>B24*Params!$C$5+C24*Params!$C$6+D24*Params!$C$7</f>
        <v>0</v>
      </c>
      <c r="F24" s="10">
        <f t="shared" si="0"/>
        <v>37.543571428571433</v>
      </c>
      <c r="G24" s="10">
        <f>IF(F24&lt;=0,Params!$C$9,MIN(Params!$C$9,MAX(Params!$C$8,E24/F24)))</f>
        <v>0.8</v>
      </c>
      <c r="H24" s="10">
        <f>Params!$C$12</f>
        <v>0.85</v>
      </c>
      <c r="I24" s="10">
        <f t="shared" si="1"/>
        <v>0</v>
      </c>
      <c r="J24" s="10">
        <f>MIN(Params!$C$15,IF(I24&lt;=Params!$C$13,I24,Params!$C$13+(I24-Params!$C$13)*Params!$C$14))</f>
        <v>0</v>
      </c>
      <c r="K24" s="17">
        <f t="shared" si="2"/>
        <v>0</v>
      </c>
      <c r="L24" s="17">
        <f>ROUNDUP(8/7,0)</f>
        <v>2</v>
      </c>
    </row>
    <row r="25" spans="1:12" x14ac:dyDescent="0.4">
      <c r="A25" s="5">
        <v>9</v>
      </c>
      <c r="B25" s="16">
        <v>0</v>
      </c>
      <c r="C25" s="16">
        <v>0</v>
      </c>
      <c r="D25" s="16">
        <v>0</v>
      </c>
      <c r="E25" s="10">
        <f>B25*Params!$C$5+C25*Params!$C$6+D25*Params!$C$7</f>
        <v>0</v>
      </c>
      <c r="F25" s="10">
        <f t="shared" si="0"/>
        <v>35.42</v>
      </c>
      <c r="G25" s="10">
        <f>IF(F25&lt;=0,Params!$C$9,MIN(Params!$C$9,MAX(Params!$C$8,E25/F25)))</f>
        <v>0.8</v>
      </c>
      <c r="H25" s="10">
        <f>Params!$C$12</f>
        <v>0.85</v>
      </c>
      <c r="I25" s="10">
        <f t="shared" si="1"/>
        <v>0</v>
      </c>
      <c r="J25" s="10">
        <f>MIN(Params!$C$15,IF(I25&lt;=Params!$C$13,I25,Params!$C$13+(I25-Params!$C$13)*Params!$C$14))</f>
        <v>0</v>
      </c>
      <c r="K25" s="17">
        <f t="shared" si="2"/>
        <v>0</v>
      </c>
      <c r="L25" s="17">
        <f>ROUNDUP(9/7,0)</f>
        <v>2</v>
      </c>
    </row>
    <row r="26" spans="1:12" x14ac:dyDescent="0.4">
      <c r="A26" s="5">
        <v>10</v>
      </c>
      <c r="B26" s="16">
        <v>15</v>
      </c>
      <c r="C26" s="16">
        <v>0</v>
      </c>
      <c r="D26" s="16">
        <v>0</v>
      </c>
      <c r="E26" s="10">
        <f>B26*Params!$C$5+C26*Params!$C$6+D26*Params!$C$7</f>
        <v>15</v>
      </c>
      <c r="F26" s="10">
        <f t="shared" si="0"/>
        <v>33.296428571428571</v>
      </c>
      <c r="G26" s="10">
        <f>IF(F26&lt;=0,Params!$C$9,MIN(Params!$C$9,MAX(Params!$C$8,E26/F26)))</f>
        <v>0.8</v>
      </c>
      <c r="H26" s="10">
        <f>Params!$C$12</f>
        <v>0.85</v>
      </c>
      <c r="I26" s="10">
        <f t="shared" si="1"/>
        <v>10.199999999999999</v>
      </c>
      <c r="J26" s="10">
        <f>MIN(Params!$C$15,IF(I26&lt;=Params!$C$13,I26,Params!$C$13+(I26-Params!$C$13)*Params!$C$14))</f>
        <v>10.199999999999999</v>
      </c>
      <c r="K26" s="17">
        <f t="shared" si="2"/>
        <v>1</v>
      </c>
      <c r="L26" s="17">
        <f>ROUNDUP(10/7,0)</f>
        <v>2</v>
      </c>
    </row>
    <row r="27" spans="1:12" x14ac:dyDescent="0.4">
      <c r="A27" s="5">
        <v>11</v>
      </c>
      <c r="B27" s="16">
        <v>0</v>
      </c>
      <c r="C27" s="16">
        <v>0</v>
      </c>
      <c r="D27" s="16">
        <v>0</v>
      </c>
      <c r="E27" s="10">
        <f>B27*Params!$C$5+C27*Params!$C$6+D27*Params!$C$7</f>
        <v>0</v>
      </c>
      <c r="F27" s="10">
        <f t="shared" si="0"/>
        <v>32.244285714285716</v>
      </c>
      <c r="G27" s="10">
        <f>IF(F27&lt;=0,Params!$C$9,MIN(Params!$C$9,MAX(Params!$C$8,E27/F27)))</f>
        <v>0.8</v>
      </c>
      <c r="H27" s="10">
        <f>Params!$C$12</f>
        <v>0.85</v>
      </c>
      <c r="I27" s="10">
        <f t="shared" si="1"/>
        <v>0</v>
      </c>
      <c r="J27" s="10">
        <f>MIN(Params!$C$15,IF(I27&lt;=Params!$C$13,I27,Params!$C$13+(I27-Params!$C$13)*Params!$C$14))</f>
        <v>0</v>
      </c>
      <c r="K27" s="17">
        <f t="shared" si="2"/>
        <v>0</v>
      </c>
      <c r="L27" s="17">
        <f>ROUNDUP(11/7,0)</f>
        <v>2</v>
      </c>
    </row>
    <row r="28" spans="1:12" x14ac:dyDescent="0.4">
      <c r="A28" s="5">
        <v>12</v>
      </c>
      <c r="B28" s="16">
        <v>0</v>
      </c>
      <c r="C28" s="16">
        <v>0</v>
      </c>
      <c r="D28" s="16">
        <v>0</v>
      </c>
      <c r="E28" s="10">
        <f>B28*Params!$C$5+C28*Params!$C$6+D28*Params!$C$7</f>
        <v>0</v>
      </c>
      <c r="F28" s="10">
        <f t="shared" si="0"/>
        <v>30.120714285714286</v>
      </c>
      <c r="G28" s="10">
        <f>IF(F28&lt;=0,Params!$C$9,MIN(Params!$C$9,MAX(Params!$C$8,E28/F28)))</f>
        <v>0.8</v>
      </c>
      <c r="H28" s="10">
        <f>Params!$C$12</f>
        <v>0.85</v>
      </c>
      <c r="I28" s="10">
        <f t="shared" si="1"/>
        <v>0</v>
      </c>
      <c r="J28" s="10">
        <f>MIN(Params!$C$15,IF(I28&lt;=Params!$C$13,I28,Params!$C$13+(I28-Params!$C$13)*Params!$C$14))</f>
        <v>0</v>
      </c>
      <c r="K28" s="17">
        <f t="shared" si="2"/>
        <v>0</v>
      </c>
      <c r="L28" s="17">
        <f>ROUNDUP(12/7,0)</f>
        <v>2</v>
      </c>
    </row>
    <row r="29" spans="1:12" x14ac:dyDescent="0.4">
      <c r="A29" s="5">
        <v>13</v>
      </c>
      <c r="B29" s="16">
        <v>0</v>
      </c>
      <c r="C29" s="16">
        <v>0</v>
      </c>
      <c r="D29" s="16">
        <v>0</v>
      </c>
      <c r="E29" s="10">
        <f>B29*Params!$C$5+C29*Params!$C$6+D29*Params!$C$7</f>
        <v>0</v>
      </c>
      <c r="F29" s="10">
        <f t="shared" si="0"/>
        <v>27.997142857142858</v>
      </c>
      <c r="G29" s="10">
        <f>IF(F29&lt;=0,Params!$C$9,MIN(Params!$C$9,MAX(Params!$C$8,E29/F29)))</f>
        <v>0.8</v>
      </c>
      <c r="H29" s="10">
        <f>Params!$C$12</f>
        <v>0.85</v>
      </c>
      <c r="I29" s="10">
        <f t="shared" si="1"/>
        <v>0</v>
      </c>
      <c r="J29" s="10">
        <f>MIN(Params!$C$15,IF(I29&lt;=Params!$C$13,I29,Params!$C$13+(I29-Params!$C$13)*Params!$C$14))</f>
        <v>0</v>
      </c>
      <c r="K29" s="17">
        <f t="shared" si="2"/>
        <v>0</v>
      </c>
      <c r="L29" s="17">
        <f>ROUNDUP(13/7,0)</f>
        <v>2</v>
      </c>
    </row>
    <row r="30" spans="1:12" x14ac:dyDescent="0.4">
      <c r="A30" s="5">
        <v>14</v>
      </c>
      <c r="B30" s="16">
        <v>0</v>
      </c>
      <c r="C30" s="16">
        <v>0</v>
      </c>
      <c r="D30" s="16">
        <v>0</v>
      </c>
      <c r="E30" s="10">
        <f>B30*Params!$C$5+C30*Params!$C$6+D30*Params!$C$7</f>
        <v>0</v>
      </c>
      <c r="F30" s="10">
        <f t="shared" si="0"/>
        <v>25.873571428571431</v>
      </c>
      <c r="G30" s="10">
        <f>IF(F30&lt;=0,Params!$C$9,MIN(Params!$C$9,MAX(Params!$C$8,E30/F30)))</f>
        <v>0.8</v>
      </c>
      <c r="H30" s="10">
        <f>Params!$C$12</f>
        <v>0.85</v>
      </c>
      <c r="I30" s="10">
        <f t="shared" si="1"/>
        <v>0</v>
      </c>
      <c r="J30" s="10">
        <f>MIN(Params!$C$15,IF(I30&lt;=Params!$C$13,I30,Params!$C$13+(I30-Params!$C$13)*Params!$C$14))</f>
        <v>0</v>
      </c>
      <c r="K30" s="17">
        <f t="shared" si="2"/>
        <v>0</v>
      </c>
      <c r="L30" s="17">
        <f>ROUNDUP(14/7,0)</f>
        <v>2</v>
      </c>
    </row>
    <row r="31" spans="1:12" x14ac:dyDescent="0.4">
      <c r="A31" s="5">
        <v>15</v>
      </c>
      <c r="B31" s="16">
        <v>0</v>
      </c>
      <c r="C31" s="16">
        <v>0</v>
      </c>
      <c r="D31" s="16">
        <v>60</v>
      </c>
      <c r="E31" s="10">
        <f>B31*Params!$C$5+C31*Params!$C$6+D31*Params!$C$7</f>
        <v>90</v>
      </c>
      <c r="F31" s="10">
        <f t="shared" si="0"/>
        <v>23.75</v>
      </c>
      <c r="G31" s="10">
        <f>IF(F31&lt;=0,Params!$C$9,MIN(Params!$C$9,MAX(Params!$C$8,E31/F31)))</f>
        <v>1.5</v>
      </c>
      <c r="H31" s="10">
        <f>Params!$C$12</f>
        <v>0.85</v>
      </c>
      <c r="I31" s="10">
        <f t="shared" si="1"/>
        <v>114.75</v>
      </c>
      <c r="J31" s="10">
        <f>MIN(Params!$C$15,IF(I31&lt;=Params!$C$13,I31,Params!$C$13+(I31-Params!$C$13)*Params!$C$14))</f>
        <v>114.75</v>
      </c>
      <c r="K31" s="17">
        <f t="shared" si="2"/>
        <v>1</v>
      </c>
      <c r="L31" s="17">
        <f>ROUNDUP(15/7,0)</f>
        <v>3</v>
      </c>
    </row>
    <row r="32" spans="1:12" x14ac:dyDescent="0.4">
      <c r="A32" s="5">
        <v>16</v>
      </c>
      <c r="B32" s="16">
        <v>0</v>
      </c>
      <c r="C32" s="16">
        <v>0</v>
      </c>
      <c r="D32" s="16">
        <v>0</v>
      </c>
      <c r="E32" s="10">
        <f>B32*Params!$C$5+C32*Params!$C$6+D32*Params!$C$7</f>
        <v>0</v>
      </c>
      <c r="F32" s="10">
        <f t="shared" si="0"/>
        <v>21.607142857142858</v>
      </c>
      <c r="G32" s="10">
        <f>IF(F32&lt;=0,Params!$C$9,MIN(Params!$C$9,MAX(Params!$C$8,E32/F32)))</f>
        <v>0.8</v>
      </c>
      <c r="H32" s="10">
        <f>Params!$C$12</f>
        <v>0.85</v>
      </c>
      <c r="I32" s="10">
        <f t="shared" si="1"/>
        <v>0</v>
      </c>
      <c r="J32" s="10">
        <f>MIN(Params!$C$15,IF(I32&lt;=Params!$C$13,I32,Params!$C$13+(I32-Params!$C$13)*Params!$C$14))</f>
        <v>0</v>
      </c>
      <c r="K32" s="17">
        <f t="shared" si="2"/>
        <v>0</v>
      </c>
      <c r="L32" s="17">
        <f>ROUNDUP(16/7,0)</f>
        <v>3</v>
      </c>
    </row>
    <row r="33" spans="1:12" x14ac:dyDescent="0.4">
      <c r="A33" s="5">
        <v>17</v>
      </c>
      <c r="B33" s="16">
        <v>0</v>
      </c>
      <c r="C33" s="16">
        <v>70</v>
      </c>
      <c r="D33" s="16">
        <v>0</v>
      </c>
      <c r="E33" s="10">
        <f>B33*Params!$C$5+C33*Params!$C$6+D33*Params!$C$7</f>
        <v>140</v>
      </c>
      <c r="F33" s="10">
        <f t="shared" si="0"/>
        <v>16.785714285714285</v>
      </c>
      <c r="G33" s="10">
        <f>IF(F33&lt;=0,Params!$C$9,MIN(Params!$C$9,MAX(Params!$C$8,E33/F33)))</f>
        <v>1.5</v>
      </c>
      <c r="H33" s="10">
        <f>Params!$C$12</f>
        <v>0.85</v>
      </c>
      <c r="I33" s="10">
        <f t="shared" si="1"/>
        <v>178.5</v>
      </c>
      <c r="J33" s="10">
        <f>MIN(Params!$C$15,IF(I33&lt;=Params!$C$13,I33,Params!$C$13+(I33-Params!$C$13)*Params!$C$14))</f>
        <v>178.5</v>
      </c>
      <c r="K33" s="17">
        <f t="shared" si="2"/>
        <v>1</v>
      </c>
      <c r="L33" s="17">
        <f>ROUNDUP(17/7,0)</f>
        <v>3</v>
      </c>
    </row>
    <row r="34" spans="1:12" x14ac:dyDescent="0.4">
      <c r="A34" s="5">
        <v>18</v>
      </c>
      <c r="B34" s="16">
        <v>0</v>
      </c>
      <c r="C34" s="16">
        <v>0</v>
      </c>
      <c r="D34" s="16">
        <v>0</v>
      </c>
      <c r="E34" s="10">
        <f>B34*Params!$C$5+C34*Params!$C$6+D34*Params!$C$7</f>
        <v>0</v>
      </c>
      <c r="F34" s="10">
        <f t="shared" si="0"/>
        <v>19.642857142857142</v>
      </c>
      <c r="G34" s="10">
        <f>IF(F34&lt;=0,Params!$C$9,MIN(Params!$C$9,MAX(Params!$C$8,E34/F34)))</f>
        <v>0.8</v>
      </c>
      <c r="H34" s="10">
        <f>Params!$C$12</f>
        <v>0.85</v>
      </c>
      <c r="I34" s="10">
        <f t="shared" si="1"/>
        <v>0</v>
      </c>
      <c r="J34" s="10">
        <f>MIN(Params!$C$15,IF(I34&lt;=Params!$C$13,I34,Params!$C$13+(I34-Params!$C$13)*Params!$C$14))</f>
        <v>0</v>
      </c>
      <c r="K34" s="17">
        <f t="shared" si="2"/>
        <v>0</v>
      </c>
      <c r="L34" s="17">
        <f>ROUNDUP(18/7,0)</f>
        <v>3</v>
      </c>
    </row>
    <row r="35" spans="1:12" x14ac:dyDescent="0.4">
      <c r="A35" s="5">
        <v>19</v>
      </c>
      <c r="B35" s="16">
        <v>0</v>
      </c>
      <c r="C35" s="16">
        <v>0</v>
      </c>
      <c r="D35" s="16">
        <v>0</v>
      </c>
      <c r="E35" s="10">
        <f>B35*Params!$C$5+C35*Params!$C$6+D35*Params!$C$7</f>
        <v>0</v>
      </c>
      <c r="F35" s="10">
        <f t="shared" si="0"/>
        <v>19.642857142857142</v>
      </c>
      <c r="G35" s="10">
        <f>IF(F35&lt;=0,Params!$C$9,MIN(Params!$C$9,MAX(Params!$C$8,E35/F35)))</f>
        <v>0.8</v>
      </c>
      <c r="H35" s="10">
        <f>Params!$C$12</f>
        <v>0.85</v>
      </c>
      <c r="I35" s="10">
        <f t="shared" si="1"/>
        <v>0</v>
      </c>
      <c r="J35" s="10">
        <f>MIN(Params!$C$15,IF(I35&lt;=Params!$C$13,I35,Params!$C$13+(I35-Params!$C$13)*Params!$C$14))</f>
        <v>0</v>
      </c>
      <c r="K35" s="17">
        <f t="shared" si="2"/>
        <v>0</v>
      </c>
      <c r="L35" s="17">
        <f>ROUNDUP(19/7,0)</f>
        <v>3</v>
      </c>
    </row>
    <row r="36" spans="1:12" x14ac:dyDescent="0.4">
      <c r="A36" s="5">
        <v>20</v>
      </c>
      <c r="B36" s="16">
        <v>0</v>
      </c>
      <c r="C36" s="16">
        <v>55</v>
      </c>
      <c r="D36" s="16">
        <v>0</v>
      </c>
      <c r="E36" s="10">
        <f>B36*Params!$C$5+C36*Params!$C$6+D36*Params!$C$7</f>
        <v>110</v>
      </c>
      <c r="F36" s="10">
        <f t="shared" si="0"/>
        <v>19.642857142857142</v>
      </c>
      <c r="G36" s="10">
        <f>IF(F36&lt;=0,Params!$C$9,MIN(Params!$C$9,MAX(Params!$C$8,E36/F36)))</f>
        <v>1.5</v>
      </c>
      <c r="H36" s="10">
        <f>Params!$C$12</f>
        <v>0.85</v>
      </c>
      <c r="I36" s="10">
        <f t="shared" si="1"/>
        <v>140.25</v>
      </c>
      <c r="J36" s="10">
        <f>MIN(Params!$C$15,IF(I36&lt;=Params!$C$13,I36,Params!$C$13+(I36-Params!$C$13)*Params!$C$14))</f>
        <v>140.25</v>
      </c>
      <c r="K36" s="17">
        <f t="shared" si="2"/>
        <v>1</v>
      </c>
      <c r="L36" s="17">
        <f>ROUNDUP(20/7,0)</f>
        <v>3</v>
      </c>
    </row>
    <row r="37" spans="1:12" x14ac:dyDescent="0.4">
      <c r="A37" s="5">
        <v>21</v>
      </c>
      <c r="B37" s="16">
        <v>0</v>
      </c>
      <c r="C37" s="16">
        <v>0</v>
      </c>
      <c r="D37" s="16">
        <v>0</v>
      </c>
      <c r="E37" s="10">
        <f>B37*Params!$C$5+C37*Params!$C$6+D37*Params!$C$7</f>
        <v>0</v>
      </c>
      <c r="F37" s="10">
        <f t="shared" si="0"/>
        <v>25.357142857142858</v>
      </c>
      <c r="G37" s="10">
        <f>IF(F37&lt;=0,Params!$C$9,MIN(Params!$C$9,MAX(Params!$C$8,E37/F37)))</f>
        <v>0.8</v>
      </c>
      <c r="H37" s="10">
        <f>Params!$C$12</f>
        <v>0.85</v>
      </c>
      <c r="I37" s="10">
        <f t="shared" si="1"/>
        <v>0</v>
      </c>
      <c r="J37" s="10">
        <f>MIN(Params!$C$15,IF(I37&lt;=Params!$C$13,I37,Params!$C$13+(I37-Params!$C$13)*Params!$C$14))</f>
        <v>0</v>
      </c>
      <c r="K37" s="17">
        <f t="shared" si="2"/>
        <v>0</v>
      </c>
      <c r="L37" s="17">
        <f>ROUNDUP(21/7,0)</f>
        <v>3</v>
      </c>
    </row>
    <row r="38" spans="1:12" x14ac:dyDescent="0.4">
      <c r="A38" s="5">
        <v>22</v>
      </c>
      <c r="B38" s="16">
        <v>30</v>
      </c>
      <c r="C38" s="16">
        <v>0</v>
      </c>
      <c r="D38" s="16">
        <v>0</v>
      </c>
      <c r="E38" s="10">
        <f>B38*Params!$C$5+C38*Params!$C$6+D38*Params!$C$7</f>
        <v>30</v>
      </c>
      <c r="F38" s="10">
        <f t="shared" si="0"/>
        <v>25.357142857142858</v>
      </c>
      <c r="G38" s="10">
        <f>IF(F38&lt;=0,Params!$C$9,MIN(Params!$C$9,MAX(Params!$C$8,E38/F38)))</f>
        <v>1.1830985915492958</v>
      </c>
      <c r="H38" s="10">
        <f>Params!$C$12</f>
        <v>0.85</v>
      </c>
      <c r="I38" s="10">
        <f t="shared" si="1"/>
        <v>30.16901408450704</v>
      </c>
      <c r="J38" s="10">
        <f>MIN(Params!$C$15,IF(I38&lt;=Params!$C$13,I38,Params!$C$13+(I38-Params!$C$13)*Params!$C$14))</f>
        <v>30.16901408450704</v>
      </c>
      <c r="K38" s="17">
        <f t="shared" si="2"/>
        <v>1</v>
      </c>
      <c r="L38" s="17">
        <f>ROUNDUP(22/7,0)</f>
        <v>4</v>
      </c>
    </row>
    <row r="39" spans="1:12" x14ac:dyDescent="0.4">
      <c r="A39" s="5">
        <v>23</v>
      </c>
      <c r="B39" s="16">
        <v>0</v>
      </c>
      <c r="C39" s="16">
        <v>0</v>
      </c>
      <c r="D39" s="16">
        <v>0</v>
      </c>
      <c r="E39" s="10">
        <f>B39*Params!$C$5+C39*Params!$C$6+D39*Params!$C$7</f>
        <v>0</v>
      </c>
      <c r="F39" s="10">
        <f t="shared" si="0"/>
        <v>27.5</v>
      </c>
      <c r="G39" s="10">
        <f>IF(F39&lt;=0,Params!$C$9,MIN(Params!$C$9,MAX(Params!$C$8,E39/F39)))</f>
        <v>0.8</v>
      </c>
      <c r="H39" s="10">
        <f>Params!$C$12</f>
        <v>0.85</v>
      </c>
      <c r="I39" s="10">
        <f t="shared" si="1"/>
        <v>0</v>
      </c>
      <c r="J39" s="10">
        <f>MIN(Params!$C$15,IF(I39&lt;=Params!$C$13,I39,Params!$C$13+(I39-Params!$C$13)*Params!$C$14))</f>
        <v>0</v>
      </c>
      <c r="K39" s="17">
        <f t="shared" si="2"/>
        <v>0</v>
      </c>
      <c r="L39" s="17">
        <f>ROUNDUP(23/7,0)</f>
        <v>4</v>
      </c>
    </row>
    <row r="40" spans="1:12" x14ac:dyDescent="0.4">
      <c r="A40" s="5">
        <v>24</v>
      </c>
      <c r="B40" s="16">
        <v>0</v>
      </c>
      <c r="C40" s="16">
        <v>0</v>
      </c>
      <c r="D40" s="16">
        <v>40</v>
      </c>
      <c r="E40" s="10">
        <f>B40*Params!$C$5+C40*Params!$C$6+D40*Params!$C$7</f>
        <v>60</v>
      </c>
      <c r="F40" s="10">
        <f t="shared" si="0"/>
        <v>27.5</v>
      </c>
      <c r="G40" s="10">
        <f>IF(F40&lt;=0,Params!$C$9,MIN(Params!$C$9,MAX(Params!$C$8,E40/F40)))</f>
        <v>1.5</v>
      </c>
      <c r="H40" s="10">
        <f>Params!$C$12</f>
        <v>0.85</v>
      </c>
      <c r="I40" s="10">
        <f t="shared" si="1"/>
        <v>76.5</v>
      </c>
      <c r="J40" s="10">
        <f>MIN(Params!$C$15,IF(I40&lt;=Params!$C$13,I40,Params!$C$13+(I40-Params!$C$13)*Params!$C$14))</f>
        <v>76.5</v>
      </c>
      <c r="K40" s="17">
        <f t="shared" si="2"/>
        <v>1</v>
      </c>
      <c r="L40" s="17">
        <f>ROUNDUP(24/7,0)</f>
        <v>4</v>
      </c>
    </row>
    <row r="41" spans="1:12" x14ac:dyDescent="0.4">
      <c r="A41" s="5">
        <v>25</v>
      </c>
      <c r="B41" s="16">
        <v>0</v>
      </c>
      <c r="C41" s="16">
        <v>0</v>
      </c>
      <c r="D41" s="16">
        <v>0</v>
      </c>
      <c r="E41" s="10">
        <f>B41*Params!$C$5+C41*Params!$C$6+D41*Params!$C$7</f>
        <v>0</v>
      </c>
      <c r="F41" s="10">
        <f t="shared" si="0"/>
        <v>30.714285714285715</v>
      </c>
      <c r="G41" s="10">
        <f>IF(F41&lt;=0,Params!$C$9,MIN(Params!$C$9,MAX(Params!$C$8,E41/F41)))</f>
        <v>0.8</v>
      </c>
      <c r="H41" s="10">
        <f>Params!$C$12</f>
        <v>0.85</v>
      </c>
      <c r="I41" s="10">
        <f t="shared" si="1"/>
        <v>0</v>
      </c>
      <c r="J41" s="10">
        <f>MIN(Params!$C$15,IF(I41&lt;=Params!$C$13,I41,Params!$C$13+(I41-Params!$C$13)*Params!$C$14))</f>
        <v>0</v>
      </c>
      <c r="K41" s="17">
        <f t="shared" si="2"/>
        <v>0</v>
      </c>
      <c r="L41" s="17">
        <f>ROUNDUP(25/7,0)</f>
        <v>4</v>
      </c>
    </row>
    <row r="42" spans="1:12" x14ac:dyDescent="0.4">
      <c r="A42" s="5">
        <v>26</v>
      </c>
      <c r="B42" s="16">
        <v>0</v>
      </c>
      <c r="C42" s="16">
        <v>35</v>
      </c>
      <c r="D42" s="16">
        <v>0</v>
      </c>
      <c r="E42" s="10">
        <f>B42*Params!$C$5+C42*Params!$C$6+D42*Params!$C$7</f>
        <v>70</v>
      </c>
      <c r="F42" s="10">
        <f t="shared" si="0"/>
        <v>30.714285714285715</v>
      </c>
      <c r="G42" s="10">
        <f>IF(F42&lt;=0,Params!$C$9,MIN(Params!$C$9,MAX(Params!$C$8,E42/F42)))</f>
        <v>1.5</v>
      </c>
      <c r="H42" s="10">
        <f>Params!$C$12</f>
        <v>0.85</v>
      </c>
      <c r="I42" s="10">
        <f t="shared" si="1"/>
        <v>89.25</v>
      </c>
      <c r="J42" s="10">
        <f>MIN(Params!$C$15,IF(I42&lt;=Params!$C$13,I42,Params!$C$13+(I42-Params!$C$13)*Params!$C$14))</f>
        <v>89.25</v>
      </c>
      <c r="K42" s="17">
        <f t="shared" si="2"/>
        <v>1</v>
      </c>
      <c r="L42" s="17">
        <f>ROUNDUP(26/7,0)</f>
        <v>4</v>
      </c>
    </row>
    <row r="43" spans="1:12" x14ac:dyDescent="0.4">
      <c r="A43" s="5">
        <v>27</v>
      </c>
      <c r="B43" s="16">
        <v>0</v>
      </c>
      <c r="C43" s="16">
        <v>0</v>
      </c>
      <c r="D43" s="16">
        <v>0</v>
      </c>
      <c r="E43" s="10">
        <f>B43*Params!$C$5+C43*Params!$C$6+D43*Params!$C$7</f>
        <v>0</v>
      </c>
      <c r="F43" s="10">
        <f t="shared" si="0"/>
        <v>35.714285714285715</v>
      </c>
      <c r="G43" s="10">
        <f>IF(F43&lt;=0,Params!$C$9,MIN(Params!$C$9,MAX(Params!$C$8,E43/F43)))</f>
        <v>0.8</v>
      </c>
      <c r="H43" s="10">
        <f>Params!$C$12</f>
        <v>0.85</v>
      </c>
      <c r="I43" s="10">
        <f t="shared" si="1"/>
        <v>0</v>
      </c>
      <c r="J43" s="10">
        <f>MIN(Params!$C$15,IF(I43&lt;=Params!$C$13,I43,Params!$C$13+(I43-Params!$C$13)*Params!$C$14))</f>
        <v>0</v>
      </c>
      <c r="K43" s="17">
        <f t="shared" si="2"/>
        <v>0</v>
      </c>
      <c r="L43" s="17">
        <f>ROUNDUP(27/7,0)</f>
        <v>4</v>
      </c>
    </row>
    <row r="44" spans="1:12" x14ac:dyDescent="0.4">
      <c r="A44" s="5">
        <v>28</v>
      </c>
      <c r="B44" s="16">
        <v>0</v>
      </c>
      <c r="C44" s="16">
        <v>0</v>
      </c>
      <c r="D44" s="16">
        <v>0</v>
      </c>
      <c r="E44" s="10">
        <f>B44*Params!$C$5+C44*Params!$C$6+D44*Params!$C$7</f>
        <v>0</v>
      </c>
      <c r="F44" s="10">
        <f t="shared" si="0"/>
        <v>35.714285714285715</v>
      </c>
      <c r="G44" s="10">
        <f>IF(F44&lt;=0,Params!$C$9,MIN(Params!$C$9,MAX(Params!$C$8,E44/F44)))</f>
        <v>0.8</v>
      </c>
      <c r="H44" s="10">
        <f>Params!$C$12</f>
        <v>0.85</v>
      </c>
      <c r="I44" s="10">
        <f t="shared" si="1"/>
        <v>0</v>
      </c>
      <c r="J44" s="10">
        <f>MIN(Params!$C$15,IF(I44&lt;=Params!$C$13,I44,Params!$C$13+(I44-Params!$C$13)*Params!$C$14))</f>
        <v>0</v>
      </c>
      <c r="K44" s="17">
        <f t="shared" si="2"/>
        <v>0</v>
      </c>
      <c r="L44" s="17">
        <f>ROUNDUP(28/7,0)</f>
        <v>4</v>
      </c>
    </row>
    <row r="46" spans="1:12" x14ac:dyDescent="0.4">
      <c r="A46" s="8" t="s">
        <v>87</v>
      </c>
    </row>
    <row r="47" spans="1:12" x14ac:dyDescent="0.4">
      <c r="A47" s="3" t="s">
        <v>88</v>
      </c>
      <c r="B47" s="3" t="s">
        <v>89</v>
      </c>
      <c r="C47" s="3" t="s">
        <v>90</v>
      </c>
      <c r="D47" s="3" t="s">
        <v>91</v>
      </c>
      <c r="E47" s="3" t="s">
        <v>92</v>
      </c>
      <c r="F47" s="3" t="s">
        <v>93</v>
      </c>
      <c r="G47" s="3" t="s">
        <v>94</v>
      </c>
      <c r="H47" s="3" t="s">
        <v>95</v>
      </c>
    </row>
    <row r="48" spans="1:12" x14ac:dyDescent="0.4">
      <c r="A48" s="5">
        <v>1</v>
      </c>
      <c r="B48" s="5">
        <f>SUMIFS(K17:K44,L17:L44,1)</f>
        <v>4</v>
      </c>
      <c r="C48" s="5">
        <f>7-B48</f>
        <v>3</v>
      </c>
      <c r="D48" s="5">
        <f>IF(AND(B48&gt;=Params!$C$16,C48&gt;=Params!$C$17),1+Params!$C$18,1)</f>
        <v>1.1499999999999999</v>
      </c>
      <c r="E48" s="5">
        <f>SUMIFS(J17:J44,L17:L44,1)</f>
        <v>386.96249999999998</v>
      </c>
      <c r="F48" s="5">
        <f>E48*D48</f>
        <v>445.00687499999992</v>
      </c>
      <c r="G48" s="5">
        <f>F48</f>
        <v>445.00687499999992</v>
      </c>
      <c r="H48" s="5">
        <f>(G48/Params!$C$19)^(1/Params!$C$20)</f>
        <v>2.7054809503638548</v>
      </c>
    </row>
    <row r="49" spans="1:8" x14ac:dyDescent="0.4">
      <c r="A49" s="5">
        <v>2</v>
      </c>
      <c r="B49" s="5">
        <f>SUMIFS(K17:K44,L17:L44,2)</f>
        <v>1</v>
      </c>
      <c r="C49" s="5">
        <f>7-B49</f>
        <v>6</v>
      </c>
      <c r="D49" s="5">
        <f>IF(AND(B49&gt;=Params!$C$16,C49&gt;=Params!$C$17),1+Params!$C$18,1)</f>
        <v>1</v>
      </c>
      <c r="E49" s="5">
        <f>SUMIFS(J17:J44,L17:L44,2)</f>
        <v>10.199999999999999</v>
      </c>
      <c r="F49" s="5">
        <f>E49*D49</f>
        <v>10.199999999999999</v>
      </c>
      <c r="G49" s="5">
        <f>G48+F49</f>
        <v>455.20687499999991</v>
      </c>
      <c r="H49" s="5">
        <f>(G49/Params!$C$19)^(1/Params!$C$20)</f>
        <v>2.7466661486113031</v>
      </c>
    </row>
    <row r="50" spans="1:8" x14ac:dyDescent="0.4">
      <c r="A50" s="5">
        <v>3</v>
      </c>
      <c r="B50" s="5">
        <f>SUMIFS(K17:K44,L17:L44,3)</f>
        <v>3</v>
      </c>
      <c r="C50" s="5">
        <f>7-B50</f>
        <v>4</v>
      </c>
      <c r="D50" s="5">
        <f>IF(AND(B50&gt;=Params!$C$16,C50&gt;=Params!$C$17),1+Params!$C$18,1)</f>
        <v>1</v>
      </c>
      <c r="E50" s="5">
        <f>SUMIFS(J17:J44,L17:L44,3)</f>
        <v>433.5</v>
      </c>
      <c r="F50" s="5">
        <f>E50*D50</f>
        <v>433.5</v>
      </c>
      <c r="G50" s="5">
        <f>G49+F50</f>
        <v>888.70687499999985</v>
      </c>
      <c r="H50" s="5">
        <f>(G50/Params!$C$19)^(1/Params!$C$20)</f>
        <v>4.2904781366624176</v>
      </c>
    </row>
    <row r="51" spans="1:8" x14ac:dyDescent="0.4">
      <c r="A51" s="5">
        <v>4</v>
      </c>
      <c r="B51" s="5">
        <f>SUMIFS(K17:K44,L17:L44,4)</f>
        <v>3</v>
      </c>
      <c r="C51" s="5">
        <f>7-B51</f>
        <v>4</v>
      </c>
      <c r="D51" s="5">
        <f>IF(AND(B51&gt;=Params!$C$16,C51&gt;=Params!$C$17),1+Params!$C$18,1)</f>
        <v>1</v>
      </c>
      <c r="E51" s="5">
        <f>SUMIFS(J17:J44,L17:L44,4)</f>
        <v>195.91901408450704</v>
      </c>
      <c r="F51" s="5">
        <f>E51*D51</f>
        <v>195.91901408450704</v>
      </c>
      <c r="G51" s="5">
        <f>G50+F51</f>
        <v>1084.625889084507</v>
      </c>
      <c r="H51" s="5">
        <f>(G51/Params!$C$19)^(1/Params!$C$20)</f>
        <v>4.8998935410333795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판정요약</vt:lpstr>
      <vt:lpstr>Params</vt:lpstr>
      <vt:lpstr>P1_안움직임</vt:lpstr>
      <vt:lpstr>P2_주3걷기</vt:lpstr>
      <vt:lpstr>P3_주5러너</vt:lpstr>
      <vt:lpstr>P4_헬스만</vt:lpstr>
      <vt:lpstr>P5_들쑥날쑥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치완 김</cp:lastModifiedBy>
  <dcterms:created xsi:type="dcterms:W3CDTF">2026-07-15T01:20:54Z</dcterms:created>
  <dcterms:modified xsi:type="dcterms:W3CDTF">2026-07-15T01:24:53Z</dcterms:modified>
</cp:coreProperties>
</file>